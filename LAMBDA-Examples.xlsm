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inkedIn-Logo.png" ContentType="image/.PNG"/>
  <Override PartName="/customUI/images/PayPal-Logo.png" ContentType="image/.PNG"/>
  <Override PartName="/customUI/images/Reddit-Logo.png" ContentType="image/.PNG"/>
  <Override PartName="/customUI/images/Coffee-Logo.png" ContentType="image/.PNG"/>
  <Override PartName="/customUI/images/Medium-Logo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9fe884cc4fb471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1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\ACM\ACM Football\Website\acm-football\"/>
    </mc:Choice>
  </mc:AlternateContent>
  <xr:revisionPtr revIDLastSave="0" documentId="13_ncr:1_{5DF51165-46A6-4A4A-99C4-73A6C41CC7F3}" xr6:coauthVersionLast="46" xr6:coauthVersionMax="46" xr10:uidLastSave="{00000000-0000-0000-0000-000000000000}"/>
  <bookViews>
    <workbookView xWindow="-120" yWindow="-120" windowWidth="29040" windowHeight="15840" xr2:uid="{223A41E5-A60C-438E-A18C-ADB7B939E688}"/>
  </bookViews>
  <sheets>
    <sheet name="Part 1" sheetId="3" r:id="rId1"/>
    <sheet name="Part 2" sheetId="4" r:id="rId2"/>
    <sheet name="Part 3" sheetId="5" r:id="rId3"/>
  </sheets>
  <definedNames>
    <definedName name="_xlpm.AddedNumbers" hidden="1" xlm="1">#NAME?</definedName>
    <definedName name="_xlpm.AddNumbersRecursive" hidden="1" xlm="1">#NAME?</definedName>
    <definedName name="_xlpm.character" hidden="1" xlm="1">#NAME?</definedName>
    <definedName name="_xlpm.charcode" hidden="1" xlm="1">#NAME?</definedName>
    <definedName name="_xlpm.ClubName" hidden="1" xlm="1">#NAME?</definedName>
    <definedName name="_xlpm.ExcludeCharacters" hidden="1" xlm="1">#NAME?</definedName>
    <definedName name="_xlpm.FirstName" hidden="1" xlm="1">#NAME?</definedName>
    <definedName name="_xlpm.Input" hidden="1" xlm="1">#NAME?</definedName>
    <definedName name="_xlpm.LastName" hidden="1" xlm="1">#NAME?</definedName>
    <definedName name="_xlpm.ndx" hidden="1" xlm="1">#NAME?</definedName>
    <definedName name="_xlpm.Number" hidden="1" xlm="1">#NAME?</definedName>
    <definedName name="_xlpm.NumberGroup" hidden="1" xlm="1">#NAME?</definedName>
    <definedName name="_xlpm.Numbers" hidden="1" xlm="1">#NAME?</definedName>
    <definedName name="_xlpm.Player" hidden="1" xlm="1">#NAME?</definedName>
    <definedName name="_xlpm.reference" hidden="1" xlm="1">#NAME?</definedName>
    <definedName name="_xlpm.x" hidden="1" xlm="1">#NAME?</definedName>
    <definedName name="_xlpm.y" hidden="1" xlm="1">#NAME?</definedName>
    <definedName name="AddNumbersRecursive">_xlfn.LAMBDA(_xlpm.NumberGroup,_xlpm.AddedNumbers,_xlpm.x,  IF(_xlpm.x=LEN(_xlpm.NumberGroup)+1,_xlpm.AddedNumbers, AddNumbersRecursive(_xlpm.NumberGroup,_xlpm.AddedNumbers+MID(_xlpm.NumberGroup,_xlpm.x,1),_xlpm.x+1) )  )</definedName>
    <definedName name="AddNumbersStandard">_xlfn.LAMBDA(_xlpm.Input,SUM(--MID(_xlpm.Input,_xlfn.SEQUENCE(LEN(_xlpm.Input)),1)))</definedName>
    <definedName name="AddTwoNumbers">_xlfn.LAMBDA(_xlpm.x,_xlpm.y,_xlpm.x+_xlpm.y)</definedName>
    <definedName name="CleanName">_xlfn.LAMBDA(_xlpm.ClubName,_xlpm.ExcludeCharacters,            IF(_xlpm.ExcludeCharacters="",_xlpm.ClubName,                CleanName(                SUBSTITUTE(_xlpm.ClubName,LEFT(_xlpm.ExcludeCharacters,1),""),                RIGHT(_xlpm.ExcludeCharacters,LEN(_xlpm.ExcludeCharacters)-1) )))</definedName>
    <definedName name="CleanName2">_xlfn.LAMBDA(_xlpm.Numbers,_xlpm.y,  CleanName2(  SUBSTITUTE(_xlpm.Numbers,LEFT(_xlpm.y,1),""), RIGHT(_xlpm.y,LEN(_xlpm.y)-1) )  )</definedName>
    <definedName name="ConcatenateNames">_xlfn.LAMBDA(_xlpm.FirstName,_xlpm.LastName,_xlpm.FirstName&amp;" "&amp;_xlpm.LastName)</definedName>
    <definedName name="ConvertToEmail">_xlfn.LAMBDA(_xlpm.FirstName,_xlpm.LastName, LOWER(_xlpm.FirstName&amp;"."&amp;_xlpm.LastName&amp;"@email.com") )</definedName>
    <definedName name="MostExpensiveTransfers">_xlfn.LAMBDA(_xlpm.Player,  _xlfn._xlws.SORT(CHOOSE({1,2,3},  _xlpm.Player,  INDEX(TransfersTable[Fee],_xlfn.SEQUENCE(ROWS(_xlpm.Player),,_xlfn.XMATCH(INDEX(_xlpm.Player,1),TransfersTable[Player]))),  INDEX(TransfersTable[Year],_xlfn.SEQUENCE(ROWS(_xlpm.Player),,_xlfn.XMATCH(INDEX(_xlpm.Player,1),TransfersTable[Player])))),  {2,3},{-1,-1})  )</definedName>
    <definedName name="UniqueNames">_xlfn.LAMBDA(_xlpm.x,_xlfn._xlws.SORT(_xlfn.UNIQUE(_xlpm.x)))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38" i="5" l="1" a="1"/>
  <c r="Q38" i="5" s="1"/>
  <c r="M28" i="4" a="1"/>
  <c r="M28" i="4" s="1"/>
  <c r="K14" i="5" l="1" a="1"/>
  <c r="K14" i="5" s="1"/>
  <c r="K38" i="5" a="1"/>
  <c r="K38" i="5" s="1"/>
  <c r="K30" i="3" a="1"/>
  <c r="K30" i="3" s="1"/>
  <c r="K19" i="3" a="1"/>
  <c r="K19" i="3" s="1"/>
  <c r="H12" i="3" a="1"/>
  <c r="H1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<sst xmlns="http://schemas.openxmlformats.org/spreadsheetml/2006/main" count="172" uniqueCount="122">
  <si>
    <t>Add Numbers</t>
  </si>
  <si>
    <t>Boris</t>
  </si>
  <si>
    <t>Johnson</t>
  </si>
  <si>
    <t>Player</t>
  </si>
  <si>
    <t>From</t>
  </si>
  <si>
    <t>To</t>
  </si>
  <si>
    <t>Position</t>
  </si>
  <si>
    <t>Fee</t>
  </si>
  <si>
    <t>Year</t>
  </si>
  <si>
    <t>Theresa</t>
  </si>
  <si>
    <t>May</t>
  </si>
  <si>
    <t> João Félix</t>
  </si>
  <si>
    <t> Benfica</t>
  </si>
  <si>
    <t> Atlético Madrid</t>
  </si>
  <si>
    <t>Forward</t>
  </si>
  <si>
    <t>David</t>
  </si>
  <si>
    <t>Cameron</t>
  </si>
  <si>
    <t> Antoine Griezmann</t>
  </si>
  <si>
    <t> Barcelona</t>
  </si>
  <si>
    <t>Tony</t>
  </si>
  <si>
    <t>Blair</t>
  </si>
  <si>
    <t> Eden Hazard</t>
  </si>
  <si>
    <t> Chelsea</t>
  </si>
  <si>
    <t> Real Madrid</t>
  </si>
  <si>
    <t> Harry Maguire</t>
  </si>
  <si>
    <t> Leicester City</t>
  </si>
  <si>
    <t> Manchester United</t>
  </si>
  <si>
    <t>Defender</t>
  </si>
  <si>
    <t> Kylian Mbappé</t>
  </si>
  <si>
    <t> Monaco</t>
  </si>
  <si>
    <t> Paris Saint-Germain</t>
  </si>
  <si>
    <t> Philippe Coutinho</t>
  </si>
  <si>
    <t> Liverpool</t>
  </si>
  <si>
    <t>Midfielder</t>
  </si>
  <si>
    <t> Cristiano Ronaldo</t>
  </si>
  <si>
    <t> Juventus</t>
  </si>
  <si>
    <t> Neymar</t>
  </si>
  <si>
    <t>0123456789</t>
  </si>
  <si>
    <t> Ousmane Dembélé</t>
  </si>
  <si>
    <t> Borussia Dortmund</t>
  </si>
  <si>
    <t> Paul Pogba</t>
  </si>
  <si>
    <t>Iteration</t>
  </si>
  <si>
    <t> Gonzalo Higuaín</t>
  </si>
  <si>
    <t> Napoli</t>
  </si>
  <si>
    <t>Striker</t>
  </si>
  <si>
    <t> Gareth Bale</t>
  </si>
  <si>
    <t> Tottenham Hotspur</t>
  </si>
  <si>
    <t>Example 1</t>
  </si>
  <si>
    <t>Add together two numbers.</t>
  </si>
  <si>
    <t>Formula</t>
  </si>
  <si>
    <t>=LAMBDA(x,y,x+y)(5,3)</t>
  </si>
  <si>
    <t>Example 2</t>
  </si>
  <si>
    <t>Data</t>
  </si>
  <si>
    <t>First Name</t>
  </si>
  <si>
    <t>Last Name</t>
  </si>
  <si>
    <t>=LAMBDA(FirstName,LastName,FirstName&amp;" "&amp;LastName
)(G17:G21,H17:H21)</t>
  </si>
  <si>
    <t>Gordon</t>
  </si>
  <si>
    <t>Brown</t>
  </si>
  <si>
    <t>Example 3</t>
  </si>
  <si>
    <t>Joe</t>
  </si>
  <si>
    <t>Biden</t>
  </si>
  <si>
    <t>=LAMBDA(FirstName,LastName,
LOWER(FirstName&amp;"."&amp;LastName&amp;"@email.com")
)(G27:G31,H27:H31)</t>
  </si>
  <si>
    <t>Donald</t>
  </si>
  <si>
    <t>Trump</t>
  </si>
  <si>
    <t>Barack</t>
  </si>
  <si>
    <t>Obama</t>
  </si>
  <si>
    <t>George</t>
  </si>
  <si>
    <t>Bush</t>
  </si>
  <si>
    <t>Bill</t>
  </si>
  <si>
    <t>Clinton</t>
  </si>
  <si>
    <t>Example 4</t>
  </si>
  <si>
    <t>Example 5</t>
  </si>
  <si>
    <t>Example 6</t>
  </si>
  <si>
    <t>Remove specified characters from a string.</t>
  </si>
  <si>
    <t>Characters to Purge</t>
  </si>
  <si>
    <t>Remaining Characters</t>
  </si>
  <si>
    <t>Purged Character</t>
  </si>
  <si>
    <t>Numbers to Sum</t>
  </si>
  <si>
    <t>Recursive Method</t>
  </si>
  <si>
    <t>Result</t>
  </si>
  <si>
    <t>Liverpool</t>
  </si>
  <si>
    <t>Add a set of numbers cumulatively.</t>
  </si>
  <si>
    <t>Filter table based on user selection and only display certain columns.</t>
  </si>
  <si>
    <t>Create a list of emails from first and last names.</t>
  </si>
  <si>
    <t>Concatenate a list of first and last names.</t>
  </si>
  <si>
    <t>Output</t>
  </si>
  <si>
    <t>Recursion Process</t>
  </si>
  <si>
    <t>Order</t>
  </si>
  <si>
    <t>=LAMBDA(Player,
SORT(CHOOSE({1,2,3},
Player,
INDEX(TransfersTable[Fee],SEQUENCE(ROWS(Player),,XMATCH(INDEX(Player,1),TransfersTable[Player]))),
INDEX(TransfersTable[Year],SEQUENCE(ROWS(Player),,XMATCH(INDEX(Player,1),TransfersTable[Player])))
),
{2,3},{-1,-1})
)(I16:I18)</t>
  </si>
  <si>
    <t>L38i32v3e3r85p33o+52o99l</t>
  </si>
  <si>
    <t>0123456789+-</t>
  </si>
  <si>
    <t>1L38i32v3e3r85p33o+52o99l</t>
  </si>
  <si>
    <t>2M38a26n3c9h102e35s+67t81er City</t>
  </si>
  <si>
    <t>3M38a18n12c8h66e36s+30t66er United</t>
  </si>
  <si>
    <t>4C38h20e6l12s69e54a+1566</t>
  </si>
  <si>
    <t>5L18e8i12c67e41s+26t62er City</t>
  </si>
  <si>
    <t>6T38o16t11t11e61n47h+14a59m Hotspur</t>
  </si>
  <si>
    <t>7W38o15l14v9e51r40h+11a59mpton Wanderers</t>
  </si>
  <si>
    <t>8A38r14s14e10n56a48l+856</t>
  </si>
  <si>
    <t>9S38h14e12f12f39i39e0l54d United</t>
  </si>
  <si>
    <t>10B38u15r9n14l43e50y-754</t>
  </si>
  <si>
    <t>L38i3v3e3r85p33o+5o99l</t>
  </si>
  <si>
    <t>123456789+-</t>
  </si>
  <si>
    <t>23456789+-</t>
  </si>
  <si>
    <t>3456789+-</t>
  </si>
  <si>
    <t>456789+-</t>
  </si>
  <si>
    <t>56789+-</t>
  </si>
  <si>
    <t>6789+-</t>
  </si>
  <si>
    <t>789+-</t>
  </si>
  <si>
    <t>89+-</t>
  </si>
  <si>
    <t>9+-</t>
  </si>
  <si>
    <t>+-</t>
  </si>
  <si>
    <t>-</t>
  </si>
  <si>
    <t>L8iver85po+5o99l</t>
  </si>
  <si>
    <t>L8iver8po+o99l</t>
  </si>
  <si>
    <t>Liverpo+o99l</t>
  </si>
  <si>
    <t>Liverpo+ol</t>
  </si>
  <si>
    <t>=LAMBDA(ClubName,ExcludeCharacters,
IF(ExcludeCharacters="",ClubName,
CleanName(
SUBSTITUTE(ClubName,LEFT(ExcludeCharacters,1),""),
RIGHT(ExcludeCharacters,LEN(ExcludeCharacters)-1))
)
)(G14:G23,$G$11)</t>
  </si>
  <si>
    <t>+</t>
  </si>
  <si>
    <t>Non-Recursive Method</t>
  </si>
  <si>
    <t>=LAMBDA(NumberGroup,
SUM(--MID(NumberGroup,SEQUENCE(LEN(NumberGroup)),1))
)(G34)</t>
  </si>
  <si>
    <t>=LAMBDA(NumberGroup,AddedNumbers,x,
IF(x=LEN(NumberGroup)+1,
AddedNumbers,
AddNumbersRecursive(NumberGroup,AddedNumbers+MID(NumberGroup,x,1),x+1) )
)(G34,0,1)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</si>
</sst>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"/>
  </numFmts>
  <fonts count="11" x14ac:knownFonts="1"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FBB6D"/>
        <bgColor indexed="64"/>
      </patternFill>
    </fill>
    <fill>
      <patternFill patternType="solid">
        <fgColor rgb="FF209553"/>
        <bgColor indexed="64"/>
      </patternFill>
    </fill>
    <fill>
      <patternFill patternType="solid">
        <fgColor rgb="FF146B32"/>
        <bgColor indexed="64"/>
      </patternFill>
    </fill>
    <fill>
      <patternFill patternType="solid">
        <fgColor rgb="FF154B29"/>
        <bgColor indexed="64"/>
      </patternFill>
    </fill>
    <fill>
      <gradientFill degree="90">
        <stop position="0">
          <color rgb="FF2FBB6D"/>
        </stop>
        <stop position="1">
          <color rgb="FF154B29"/>
        </stop>
      </gradientFill>
    </fill>
    <fill>
      <gradientFill degree="90">
        <stop position="0">
          <color rgb="FF2FBB6D"/>
        </stop>
        <stop position="1">
          <color rgb="FF209553"/>
        </stop>
      </gradientFill>
    </fill>
    <fill>
      <gradientFill degree="90">
        <stop position="0">
          <color rgb="FF2FBB6D"/>
        </stop>
        <stop position="1">
          <color rgb="FF146B32"/>
        </stop>
      </gradient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9" fillId="6" borderId="14" applyNumberFormat="0" applyProtection="0">
      <alignment horizontal="center" vertical="center"/>
    </xf>
    <xf numFmtId="0" fontId="10" fillId="8" borderId="14" applyAlignment="0" applyProtection="0"/>
    <xf numFmtId="0" fontId="8" fillId="7" borderId="14" applyAlignment="0" applyProtection="0"/>
  </cellStyleXfs>
  <cellXfs count="74">
    <xf numFmtId="0" fontId="0" fillId="0" borderId="0" xfId="0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quotePrefix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 applyAlignment="1">
      <alignment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quotePrefix="1" applyAlignment="1">
      <alignment horizontal="left" vertical="center" wrapText="1"/>
    </xf>
    <xf numFmtId="0" fontId="0" fillId="0" borderId="0" xfId="0" quotePrefix="1" applyFont="1" applyAlignment="1">
      <alignment horizontal="left" vertical="top" wrapText="1" indent="8"/>
    </xf>
    <xf numFmtId="0" fontId="6" fillId="0" borderId="0" xfId="0" applyFont="1"/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quotePrefix="1" applyBorder="1" applyAlignment="1">
      <alignment vertical="top" wrapText="1"/>
    </xf>
    <xf numFmtId="0" fontId="0" fillId="0" borderId="6" xfId="0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0" borderId="6" xfId="0" quotePrefix="1" applyBorder="1" applyAlignment="1">
      <alignment horizontal="center" wrapText="1"/>
    </xf>
    <xf numFmtId="0" fontId="1" fillId="0" borderId="0" xfId="0" quotePrefix="1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7" fillId="0" borderId="0" xfId="0" quotePrefix="1" applyFont="1" applyBorder="1" applyAlignment="1">
      <alignment horizontal="left" vertical="center" wrapText="1"/>
    </xf>
    <xf numFmtId="0" fontId="0" fillId="0" borderId="0" xfId="0" quotePrefix="1" applyBorder="1" applyAlignment="1">
      <alignment horizontal="left" vertical="top" wrapText="1"/>
    </xf>
    <xf numFmtId="0" fontId="3" fillId="0" borderId="0" xfId="0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7" borderId="14" xfId="3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8" fillId="7" borderId="14" xfId="3" applyAlignment="1">
      <alignment horizontal="center" vertical="center"/>
    </xf>
    <xf numFmtId="0" fontId="8" fillId="7" borderId="14" xfId="3" applyAlignment="1">
      <alignment horizontal="center" vertical="center"/>
    </xf>
    <xf numFmtId="0" fontId="8" fillId="7" borderId="14" xfId="3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7" borderId="0" xfId="3" quotePrefix="1" applyBorder="1" applyAlignment="1">
      <alignment horizontal="center" vertical="center" wrapText="1"/>
    </xf>
    <xf numFmtId="0" fontId="8" fillId="7" borderId="13" xfId="3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2" xfId="0" quotePrefix="1" applyNumberFormat="1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10" fillId="8" borderId="14" xfId="2" applyAlignment="1">
      <alignment horizontal="center" vertical="center"/>
    </xf>
    <xf numFmtId="0" fontId="6" fillId="0" borderId="1" xfId="0" quotePrefix="1" applyFont="1" applyBorder="1" applyAlignment="1">
      <alignment horizontal="left" vertical="center" wrapText="1"/>
    </xf>
    <xf numFmtId="0" fontId="9" fillId="6" borderId="14" xfId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4" xfId="0" quotePrefix="1" applyFont="1" applyBorder="1" applyAlignment="1">
      <alignment horizontal="left" vertical="center" wrapText="1"/>
    </xf>
    <xf numFmtId="0" fontId="0" fillId="0" borderId="1" xfId="0" quotePrefix="1" applyFont="1" applyBorder="1" applyAlignment="1">
      <alignment horizontal="left" vertical="center" wrapText="1"/>
    </xf>
    <xf numFmtId="0" fontId="8" fillId="7" borderId="14" xfId="3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15" xfId="0" quotePrefix="1" applyFont="1" applyBorder="1" applyAlignment="1">
      <alignment horizontal="left" vertical="center" wrapText="1"/>
    </xf>
    <xf numFmtId="0" fontId="0" fillId="0" borderId="12" xfId="0" quotePrefix="1" applyFont="1" applyBorder="1" applyAlignment="1">
      <alignment horizontal="left" vertical="center" wrapText="1"/>
    </xf>
    <xf numFmtId="0" fontId="0" fillId="0" borderId="10" xfId="0" quotePrefix="1" applyFont="1" applyBorder="1" applyAlignment="1">
      <alignment horizontal="left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4" xfId="0" quotePrefix="1" applyFont="1" applyBorder="1" applyAlignment="1">
      <alignment horizontal="left" vertical="center" wrapText="1" indent="14"/>
    </xf>
    <xf numFmtId="0" fontId="6" fillId="0" borderId="5" xfId="0" quotePrefix="1" applyFont="1" applyBorder="1" applyAlignment="1">
      <alignment horizontal="left" vertical="center" wrapText="1" indent="14"/>
    </xf>
    <xf numFmtId="0" fontId="6" fillId="0" borderId="1" xfId="0" quotePrefix="1" applyFont="1" applyBorder="1" applyAlignment="1">
      <alignment horizontal="left" vertical="center" wrapText="1" indent="14"/>
    </xf>
    <xf numFmtId="0" fontId="6" fillId="0" borderId="7" xfId="0" quotePrefix="1" applyFont="1" applyBorder="1" applyAlignment="1">
      <alignment horizontal="left" vertical="center" wrapText="1" indent="14"/>
    </xf>
  </cellXfs>
  <cellStyles count="4">
    <cellStyle name="Heading 1 2" xfId="1" xr:uid="{44F7E879-B026-4A21-84D6-4A10083DBAA6}"/>
    <cellStyle name="Normal" xfId="0" builtinId="0"/>
    <cellStyle name="Sub Headings" xfId="2" xr:uid="{F96E2BCC-ACBB-49C6-9F81-2E46F80C9824}"/>
    <cellStyle name="Sub Headings 2" xfId="3" xr:uid="{73A64D63-858A-4A47-949D-740772E5CB9A}"/>
  </cellStyles>
  <dxfs count="21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£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gradientFill degree="90">
          <stop position="0">
            <color rgb="FF2FBB6D"/>
          </stop>
          <stop position="1">
            <color rgb="FF209553"/>
          </stop>
        </gradient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2" xr9:uid="{581EC34A-FA3C-49F3-A846-5ADBFFE822DE}">
      <tableStyleElement type="wholeTable" dxfId="20"/>
      <tableStyleElement type="headerRow" dxfId="19"/>
    </tableStyle>
  </tableStyles>
  <colors>
    <mruColors>
      <color rgb="FF209553"/>
      <color rgb="FF146B32"/>
      <color rgb="FF2FBB6D"/>
      <color rgb="FF154B29"/>
      <color rgb="FF00F6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18</xdr:col>
      <xdr:colOff>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935CF78-44A3-4385-A9E8-8000BD442BE6}"/>
            </a:ext>
          </a:extLst>
        </xdr:cNvPr>
        <xdr:cNvSpPr txBox="1"/>
      </xdr:nvSpPr>
      <xdr:spPr>
        <a:xfrm>
          <a:off x="365760" y="278131"/>
          <a:ext cx="11902440" cy="472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Part 1 — Simple Examples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152400</xdr:colOff>
      <xdr:row>6</xdr:row>
      <xdr:rowOff>38533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82C8A28-5251-4019-B2D2-D5059FEA8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75360" cy="9072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1</xdr:rowOff>
    </xdr:from>
    <xdr:to>
      <xdr:col>20</xdr:col>
      <xdr:colOff>0</xdr:colOff>
      <xdr:row>5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222EA9-0A66-4C82-92AA-36D69972C6A6}"/>
            </a:ext>
          </a:extLst>
        </xdr:cNvPr>
        <xdr:cNvSpPr txBox="1"/>
      </xdr:nvSpPr>
      <xdr:spPr>
        <a:xfrm>
          <a:off x="365761" y="278131"/>
          <a:ext cx="16062959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Part 2 — Filter Table</a:t>
          </a:r>
          <a:r>
            <a:rPr lang="en-GB" sz="2800" baseline="0">
              <a:solidFill>
                <a:schemeClr val="bg1"/>
              </a:solidFill>
            </a:rPr>
            <a:t> Based on User Selection</a:t>
          </a:r>
          <a:endParaRPr lang="en-GB" sz="28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152400</xdr:colOff>
      <xdr:row>6</xdr:row>
      <xdr:rowOff>38533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54738EBA-F82A-4CDD-9673-5780F43F1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75360" cy="9072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1</xdr:rowOff>
    </xdr:from>
    <xdr:to>
      <xdr:col>22</xdr:col>
      <xdr:colOff>0</xdr:colOff>
      <xdr:row>5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39C13C8-D058-40DE-AA5B-B420E3D65E72}"/>
            </a:ext>
          </a:extLst>
        </xdr:cNvPr>
        <xdr:cNvSpPr txBox="1"/>
      </xdr:nvSpPr>
      <xdr:spPr>
        <a:xfrm>
          <a:off x="365761" y="278131"/>
          <a:ext cx="16062959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Part 3 — Recursion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152400</xdr:colOff>
      <xdr:row>6</xdr:row>
      <xdr:rowOff>38533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B8BEE054-F606-45E5-A268-41388D7E6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75360" cy="9072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DFA2E3-B374-4763-B6FF-D5399ABD669D}" name="TransfersTable" displayName="TransfersTable" ref="H11:N24" totalsRowShown="0" headerRowDxfId="15" dataDxfId="14" headerRowCellStyle="Sub Headings 2">
  <autoFilter ref="H11:N24" xr:uid="{95213AF6-34C8-42CD-BB5D-3A0948EACA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H12:N24">
    <sortCondition descending="1" ref="N11:N24"/>
  </sortState>
  <tableColumns count="7">
    <tableColumn id="1" xr3:uid="{F52E7136-C222-493F-943C-05D883E39A25}" name="Order" dataDxfId="13"/>
    <tableColumn id="2" xr3:uid="{72A44392-CF48-4F5C-A3C8-5D117CDF662A}" name="Player" dataDxfId="12"/>
    <tableColumn id="3" xr3:uid="{76E3872A-BA82-4B65-BF97-84E6515EDB83}" name="From" dataDxfId="11"/>
    <tableColumn id="4" xr3:uid="{2AFA1E2A-00E8-443B-AAA8-D08292B19B06}" name="To" dataDxfId="10"/>
    <tableColumn id="5" xr3:uid="{ED665B14-3F7A-48A5-BB80-ABFB0256F646}" name="Position" dataDxfId="9"/>
    <tableColumn id="6" xr3:uid="{AF090414-428B-4196-B6E6-D39F0D1A24EB}" name="Fee" dataDxfId="8"/>
    <tableColumn id="7" xr3:uid="{5AD5500E-7FE3-4E38-8144-43703C0BF1AE}" name="Year" dataDxfId="7"/>
  </tableColumns>
  <tableStyleInfo name="Table Style 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1CE2B6-30D0-4313-9E5A-DD6D7B156584}" name="RecursionTable" displayName="RecursionTable" ref="M13:P26" totalsRowShown="0" headerRowDxfId="6" tableBorderDxfId="5" totalsRowBorderDxfId="4" headerRowCellStyle="Sub Headings 2">
  <autoFilter ref="M13:P26" xr:uid="{D8624CF9-22AA-46B9-9C7D-036D0BBF527A}">
    <filterColumn colId="0" hiddenButton="1"/>
    <filterColumn colId="1" hiddenButton="1"/>
    <filterColumn colId="2" hiddenButton="1"/>
    <filterColumn colId="3" hiddenButton="1"/>
  </autoFilter>
  <tableColumns count="4">
    <tableColumn id="1" xr3:uid="{B739CC41-B01B-46F4-B91B-1C25ECC513BB}" name="Iteration" dataDxfId="3"/>
    <tableColumn id="2" xr3:uid="{6DD698A4-48E9-4932-B718-138B856C2292}" name="Data" dataDxfId="2"/>
    <tableColumn id="3" xr3:uid="{58B5D327-6838-4E42-BBBB-A31BFC152C2F}" name="Remaining Characters" dataDxfId="1"/>
    <tableColumn id="4" xr3:uid="{09BACB5A-D8BE-4DEC-BC02-9A63BB77F425}" name="Purged Character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51342-0FB1-4F24-8847-52628B61AB60}">
  <sheetPr codeName="Sheet1"/>
  <dimension ref="B1:X70"/>
  <sheetViews>
    <sheetView showGridLines="0" tabSelected="1" zoomScale="90" zoomScaleNormal="90" workbookViewId="0"/>
  </sheetViews>
  <sheetFormatPr defaultColWidth="9" defaultRowHeight="12.75" x14ac:dyDescent="0.2"/>
  <cols>
    <col min="1" max="1" width="5.7109375" style="5" customWidth="1"/>
    <col min="2" max="5" width="1.7109375" style="5" customWidth="1"/>
    <col min="6" max="6" width="8.7109375" style="5" customWidth="1"/>
    <col min="7" max="8" width="23.42578125" style="5" customWidth="1"/>
    <col min="9" max="9" width="3.5703125" style="5" customWidth="1"/>
    <col min="10" max="10" width="56" style="5" customWidth="1"/>
    <col min="11" max="11" width="26" style="5" bestFit="1" customWidth="1"/>
    <col min="12" max="12" width="10.7109375" style="5" bestFit="1" customWidth="1"/>
    <col min="13" max="13" width="11" style="5" bestFit="1" customWidth="1"/>
    <col min="14" max="14" width="8.7109375" style="5" customWidth="1"/>
    <col min="15" max="18" width="1.7109375" style="5" customWidth="1"/>
    <col min="19" max="19" width="8.7109375" style="5" customWidth="1"/>
    <col min="25" max="16384" width="9" style="5"/>
  </cols>
  <sheetData>
    <row r="1" spans="2:18" ht="21.95" customHeight="1" x14ac:dyDescent="0.2"/>
    <row r="2" spans="2:18" ht="9.4" customHeight="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2:18" ht="9.4" customHeight="1" x14ac:dyDescent="0.2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/>
    </row>
    <row r="4" spans="2:18" ht="9.4" customHeight="1" x14ac:dyDescent="0.2">
      <c r="B4" s="1"/>
      <c r="C4" s="2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2"/>
      <c r="R4" s="1"/>
    </row>
    <row r="5" spans="2:18" ht="9.4" customHeight="1" x14ac:dyDescent="0.2">
      <c r="B5" s="1"/>
      <c r="C5" s="2"/>
      <c r="D5" s="3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3"/>
      <c r="Q5" s="2"/>
      <c r="R5" s="1"/>
    </row>
    <row r="6" spans="2:18" ht="9.4" customHeight="1" x14ac:dyDescent="0.2">
      <c r="B6" s="1"/>
      <c r="C6" s="2"/>
      <c r="D6" s="3"/>
      <c r="E6" s="4"/>
      <c r="O6" s="4"/>
      <c r="P6" s="3"/>
      <c r="Q6" s="2"/>
      <c r="R6" s="1"/>
    </row>
    <row r="7" spans="2:18" ht="26.25" x14ac:dyDescent="0.2">
      <c r="B7" s="1"/>
      <c r="C7" s="2"/>
      <c r="D7" s="3"/>
      <c r="E7" s="4"/>
      <c r="G7" s="57" t="s">
        <v>47</v>
      </c>
      <c r="H7" s="57"/>
      <c r="I7" s="57"/>
      <c r="J7" s="57"/>
      <c r="K7" s="57"/>
      <c r="L7" s="57"/>
      <c r="M7" s="57"/>
      <c r="O7" s="4"/>
      <c r="P7" s="3"/>
      <c r="Q7" s="2"/>
      <c r="R7" s="1"/>
    </row>
    <row r="8" spans="2:18" ht="13.15" customHeight="1" x14ac:dyDescent="0.2">
      <c r="B8" s="1"/>
      <c r="C8" s="2"/>
      <c r="D8" s="3"/>
      <c r="E8" s="4"/>
      <c r="G8" s="58" t="s">
        <v>48</v>
      </c>
      <c r="H8" s="58"/>
      <c r="I8" s="58"/>
      <c r="J8" s="58"/>
      <c r="K8" s="58"/>
      <c r="L8" s="58"/>
      <c r="M8" s="58"/>
      <c r="O8" s="4"/>
      <c r="P8" s="3"/>
      <c r="Q8" s="2"/>
      <c r="R8" s="1"/>
    </row>
    <row r="9" spans="2:18" ht="13.15" customHeight="1" x14ac:dyDescent="0.2">
      <c r="B9" s="1"/>
      <c r="C9" s="2"/>
      <c r="D9" s="3"/>
      <c r="E9" s="4"/>
      <c r="G9" s="31"/>
      <c r="H9" s="31"/>
      <c r="I9" s="31"/>
      <c r="J9" s="31"/>
      <c r="K9" s="31"/>
      <c r="L9" s="31"/>
      <c r="M9" s="31"/>
      <c r="O9" s="4"/>
      <c r="P9" s="3"/>
      <c r="Q9" s="2"/>
      <c r="R9" s="1"/>
    </row>
    <row r="10" spans="2:18" ht="21" x14ac:dyDescent="0.2">
      <c r="B10" s="1"/>
      <c r="C10" s="2"/>
      <c r="D10" s="3"/>
      <c r="E10" s="4"/>
      <c r="G10" s="55" t="s">
        <v>0</v>
      </c>
      <c r="H10" s="55"/>
      <c r="I10" s="11"/>
      <c r="O10" s="4"/>
      <c r="P10" s="3"/>
      <c r="Q10" s="2"/>
      <c r="R10" s="1"/>
    </row>
    <row r="11" spans="2:18" ht="15.75" x14ac:dyDescent="0.2">
      <c r="B11" s="1"/>
      <c r="C11" s="2"/>
      <c r="D11" s="3"/>
      <c r="E11" s="4"/>
      <c r="G11" s="40" t="s">
        <v>49</v>
      </c>
      <c r="H11" s="44" t="s">
        <v>85</v>
      </c>
      <c r="I11" s="6"/>
      <c r="O11" s="4"/>
      <c r="P11" s="3"/>
      <c r="Q11" s="2"/>
      <c r="R11" s="1"/>
    </row>
    <row r="12" spans="2:18" ht="15.75" x14ac:dyDescent="0.2">
      <c r="B12" s="1"/>
      <c r="C12" s="2"/>
      <c r="D12" s="3"/>
      <c r="E12" s="4"/>
      <c r="G12" s="12" t="s">
        <v>50</v>
      </c>
      <c r="H12" s="13" cm="1">
        <f t="array" ref="H12">AddTwoNumbers(5,3)</f>
        <v>8</v>
      </c>
      <c r="I12" s="14"/>
      <c r="O12" s="4"/>
      <c r="P12" s="3"/>
      <c r="Q12" s="2"/>
      <c r="R12" s="1"/>
    </row>
    <row r="13" spans="2:18" x14ac:dyDescent="0.2">
      <c r="B13" s="1"/>
      <c r="C13" s="2"/>
      <c r="D13" s="3"/>
      <c r="E13" s="4"/>
      <c r="O13" s="4"/>
      <c r="P13" s="3"/>
      <c r="Q13" s="2"/>
      <c r="R13" s="1"/>
    </row>
    <row r="14" spans="2:18" ht="26.25" x14ac:dyDescent="0.2">
      <c r="B14" s="1"/>
      <c r="C14" s="2"/>
      <c r="D14" s="3"/>
      <c r="E14" s="4"/>
      <c r="G14" s="57" t="s">
        <v>51</v>
      </c>
      <c r="H14" s="57"/>
      <c r="I14" s="57"/>
      <c r="J14" s="57"/>
      <c r="K14" s="57"/>
      <c r="L14" s="57"/>
      <c r="M14" s="57"/>
      <c r="O14" s="4"/>
      <c r="P14" s="3"/>
      <c r="Q14" s="2"/>
      <c r="R14" s="1"/>
    </row>
    <row r="15" spans="2:18" ht="15.75" x14ac:dyDescent="0.2">
      <c r="B15" s="1"/>
      <c r="C15" s="2"/>
      <c r="D15" s="3"/>
      <c r="E15" s="4"/>
      <c r="G15" s="58" t="s">
        <v>84</v>
      </c>
      <c r="H15" s="58"/>
      <c r="I15" s="58"/>
      <c r="J15" s="58"/>
      <c r="K15" s="58"/>
      <c r="L15" s="58"/>
      <c r="M15" s="58"/>
      <c r="O15" s="4"/>
      <c r="P15" s="3"/>
      <c r="Q15" s="2"/>
      <c r="R15" s="1"/>
    </row>
    <row r="16" spans="2:18" ht="15.75" x14ac:dyDescent="0.2">
      <c r="B16" s="1"/>
      <c r="C16" s="2"/>
      <c r="D16" s="3"/>
      <c r="E16" s="4"/>
      <c r="G16" s="31"/>
      <c r="H16" s="31"/>
      <c r="I16" s="31"/>
      <c r="J16" s="31"/>
      <c r="K16" s="31"/>
      <c r="L16" s="31"/>
      <c r="M16" s="31"/>
      <c r="O16" s="4"/>
      <c r="P16" s="3"/>
      <c r="Q16" s="2"/>
      <c r="R16" s="1"/>
    </row>
    <row r="17" spans="2:18" ht="21" x14ac:dyDescent="0.2">
      <c r="B17" s="1"/>
      <c r="C17" s="2"/>
      <c r="D17" s="3"/>
      <c r="E17" s="4"/>
      <c r="G17" s="55" t="s">
        <v>52</v>
      </c>
      <c r="H17" s="55"/>
      <c r="I17" s="11"/>
      <c r="O17" s="4"/>
      <c r="P17" s="3"/>
      <c r="Q17" s="2"/>
      <c r="R17" s="1"/>
    </row>
    <row r="18" spans="2:18" ht="15.75" x14ac:dyDescent="0.2">
      <c r="B18" s="1"/>
      <c r="C18" s="2"/>
      <c r="D18" s="3"/>
      <c r="E18" s="4"/>
      <c r="G18" s="40" t="s">
        <v>53</v>
      </c>
      <c r="H18" s="40" t="s">
        <v>54</v>
      </c>
      <c r="I18" s="6"/>
      <c r="J18" s="42" t="s">
        <v>49</v>
      </c>
      <c r="K18" s="44" t="s">
        <v>85</v>
      </c>
      <c r="O18" s="4"/>
      <c r="P18" s="3"/>
      <c r="Q18" s="2"/>
      <c r="R18" s="1"/>
    </row>
    <row r="19" spans="2:18" ht="15.75" x14ac:dyDescent="0.2">
      <c r="B19" s="1"/>
      <c r="C19" s="2"/>
      <c r="D19" s="3"/>
      <c r="E19" s="4"/>
      <c r="G19" s="41" t="s">
        <v>1</v>
      </c>
      <c r="H19" s="41" t="s">
        <v>2</v>
      </c>
      <c r="I19" s="14"/>
      <c r="J19" s="56" t="s">
        <v>55</v>
      </c>
      <c r="K19" s="13" t="str" cm="1">
        <f t="array" ref="K19:K23">ConcatenateNames(G19:G23,H19:H23)</f>
        <v>Boris Johnson</v>
      </c>
      <c r="O19" s="4"/>
      <c r="P19" s="3"/>
      <c r="Q19" s="2"/>
      <c r="R19" s="1"/>
    </row>
    <row r="20" spans="2:18" ht="15.75" x14ac:dyDescent="0.2">
      <c r="B20" s="1"/>
      <c r="C20" s="2"/>
      <c r="D20" s="3"/>
      <c r="E20" s="4"/>
      <c r="G20" s="13" t="s">
        <v>9</v>
      </c>
      <c r="H20" s="13" t="s">
        <v>10</v>
      </c>
      <c r="I20" s="14"/>
      <c r="J20" s="56"/>
      <c r="K20" s="13" t="str">
        <v>Theresa May</v>
      </c>
      <c r="O20" s="4"/>
      <c r="P20" s="3"/>
      <c r="Q20" s="2"/>
      <c r="R20" s="1"/>
    </row>
    <row r="21" spans="2:18" ht="15.75" x14ac:dyDescent="0.2">
      <c r="B21" s="1"/>
      <c r="C21" s="2"/>
      <c r="D21" s="3"/>
      <c r="E21" s="4"/>
      <c r="G21" s="13" t="s">
        <v>15</v>
      </c>
      <c r="H21" s="13" t="s">
        <v>16</v>
      </c>
      <c r="I21" s="14"/>
      <c r="J21" s="56"/>
      <c r="K21" s="13" t="str">
        <v>David Cameron</v>
      </c>
      <c r="O21" s="4"/>
      <c r="P21" s="3"/>
      <c r="Q21" s="2"/>
      <c r="R21" s="1"/>
    </row>
    <row r="22" spans="2:18" ht="15.75" x14ac:dyDescent="0.2">
      <c r="B22" s="1"/>
      <c r="C22" s="2"/>
      <c r="D22" s="3"/>
      <c r="E22" s="4"/>
      <c r="G22" s="13" t="s">
        <v>56</v>
      </c>
      <c r="H22" s="13" t="s">
        <v>57</v>
      </c>
      <c r="I22" s="14"/>
      <c r="J22" s="56"/>
      <c r="K22" s="13" t="str">
        <v>Gordon Brown</v>
      </c>
      <c r="O22" s="4"/>
      <c r="P22" s="3"/>
      <c r="Q22" s="2"/>
      <c r="R22" s="1"/>
    </row>
    <row r="23" spans="2:18" ht="15.75" x14ac:dyDescent="0.2">
      <c r="B23" s="1"/>
      <c r="C23" s="2"/>
      <c r="D23" s="3"/>
      <c r="E23" s="4"/>
      <c r="G23" s="13" t="s">
        <v>19</v>
      </c>
      <c r="H23" s="13" t="s">
        <v>20</v>
      </c>
      <c r="I23" s="14"/>
      <c r="J23" s="56"/>
      <c r="K23" s="13" t="str">
        <v>Tony Blair</v>
      </c>
      <c r="O23" s="4"/>
      <c r="P23" s="3"/>
      <c r="Q23" s="2"/>
      <c r="R23" s="1"/>
    </row>
    <row r="24" spans="2:18" x14ac:dyDescent="0.2">
      <c r="B24" s="1"/>
      <c r="C24" s="2"/>
      <c r="D24" s="3"/>
      <c r="E24" s="4"/>
      <c r="O24" s="4"/>
      <c r="P24" s="3"/>
      <c r="Q24" s="2"/>
      <c r="R24" s="1"/>
    </row>
    <row r="25" spans="2:18" ht="26.25" x14ac:dyDescent="0.2">
      <c r="B25" s="1"/>
      <c r="C25" s="2"/>
      <c r="D25" s="3"/>
      <c r="E25" s="4"/>
      <c r="G25" s="57" t="s">
        <v>58</v>
      </c>
      <c r="H25" s="57"/>
      <c r="I25" s="57"/>
      <c r="J25" s="57"/>
      <c r="K25" s="57"/>
      <c r="L25" s="57"/>
      <c r="M25" s="57"/>
      <c r="O25" s="4"/>
      <c r="P25" s="3"/>
      <c r="Q25" s="2"/>
      <c r="R25" s="1"/>
    </row>
    <row r="26" spans="2:18" ht="15.75" x14ac:dyDescent="0.2">
      <c r="B26" s="1"/>
      <c r="C26" s="2"/>
      <c r="D26" s="3"/>
      <c r="E26" s="4"/>
      <c r="G26" s="58" t="s">
        <v>83</v>
      </c>
      <c r="H26" s="58"/>
      <c r="I26" s="58"/>
      <c r="J26" s="58"/>
      <c r="K26" s="58"/>
      <c r="L26" s="58"/>
      <c r="M26" s="58"/>
      <c r="O26" s="4"/>
      <c r="P26" s="3"/>
      <c r="Q26" s="2"/>
      <c r="R26" s="1"/>
    </row>
    <row r="27" spans="2:18" x14ac:dyDescent="0.2">
      <c r="B27" s="1"/>
      <c r="C27" s="2"/>
      <c r="D27" s="3"/>
      <c r="E27" s="4"/>
      <c r="G27" s="24"/>
      <c r="H27" s="24"/>
      <c r="I27" s="24"/>
      <c r="J27" s="24"/>
      <c r="K27" s="24"/>
      <c r="L27" s="24"/>
      <c r="M27" s="24"/>
      <c r="O27" s="4"/>
      <c r="P27" s="3"/>
      <c r="Q27" s="2"/>
      <c r="R27" s="1"/>
    </row>
    <row r="28" spans="2:18" ht="21" x14ac:dyDescent="0.2">
      <c r="B28" s="1"/>
      <c r="C28" s="2"/>
      <c r="D28" s="3"/>
      <c r="E28" s="4"/>
      <c r="G28" s="55" t="s">
        <v>52</v>
      </c>
      <c r="H28" s="55"/>
      <c r="I28" s="6"/>
      <c r="O28" s="4"/>
      <c r="P28" s="3"/>
      <c r="Q28" s="2"/>
      <c r="R28" s="1"/>
    </row>
    <row r="29" spans="2:18" ht="15.75" x14ac:dyDescent="0.2">
      <c r="B29" s="1"/>
      <c r="C29" s="2"/>
      <c r="D29" s="3"/>
      <c r="E29" s="4"/>
      <c r="G29" s="40" t="s">
        <v>53</v>
      </c>
      <c r="H29" s="40" t="s">
        <v>54</v>
      </c>
      <c r="I29" s="6"/>
      <c r="J29" s="40" t="s">
        <v>49</v>
      </c>
      <c r="K29" s="44" t="s">
        <v>85</v>
      </c>
      <c r="O29" s="4"/>
      <c r="P29" s="3"/>
      <c r="Q29" s="2"/>
      <c r="R29" s="1"/>
    </row>
    <row r="30" spans="2:18" ht="15.75" x14ac:dyDescent="0.2">
      <c r="B30" s="1"/>
      <c r="C30" s="2"/>
      <c r="D30" s="3"/>
      <c r="E30" s="4"/>
      <c r="G30" s="13" t="s">
        <v>59</v>
      </c>
      <c r="H30" s="13" t="s">
        <v>60</v>
      </c>
      <c r="I30" s="14"/>
      <c r="J30" s="56" t="s">
        <v>61</v>
      </c>
      <c r="K30" s="13" t="str" cm="1">
        <f t="array" ref="K30:K34">ConvertToEmail(G30:G34,H30:H34)</f>
        <v>joe.biden@email.com</v>
      </c>
      <c r="O30" s="4"/>
      <c r="P30" s="3"/>
      <c r="Q30" s="2"/>
      <c r="R30" s="1"/>
    </row>
    <row r="31" spans="2:18" ht="15.75" x14ac:dyDescent="0.2">
      <c r="B31" s="1"/>
      <c r="C31" s="2"/>
      <c r="D31" s="3"/>
      <c r="E31" s="4"/>
      <c r="G31" s="13" t="s">
        <v>62</v>
      </c>
      <c r="H31" s="13" t="s">
        <v>63</v>
      </c>
      <c r="I31" s="14"/>
      <c r="J31" s="56"/>
      <c r="K31" s="13" t="str">
        <v>donald.trump@email.com</v>
      </c>
      <c r="O31" s="4"/>
      <c r="P31" s="3"/>
      <c r="Q31" s="2"/>
      <c r="R31" s="1"/>
    </row>
    <row r="32" spans="2:18" ht="15.75" x14ac:dyDescent="0.2">
      <c r="B32" s="1"/>
      <c r="C32" s="2"/>
      <c r="D32" s="3"/>
      <c r="E32" s="4"/>
      <c r="G32" s="13" t="s">
        <v>64</v>
      </c>
      <c r="H32" s="13" t="s">
        <v>65</v>
      </c>
      <c r="I32" s="14"/>
      <c r="J32" s="56"/>
      <c r="K32" s="13" t="str">
        <v>barack.obama@email.com</v>
      </c>
      <c r="O32" s="4"/>
      <c r="P32" s="3"/>
      <c r="Q32" s="2"/>
      <c r="R32" s="1"/>
    </row>
    <row r="33" spans="2:19" ht="15.75" x14ac:dyDescent="0.2">
      <c r="B33" s="1"/>
      <c r="C33" s="2"/>
      <c r="D33" s="3"/>
      <c r="E33" s="4"/>
      <c r="G33" s="13" t="s">
        <v>66</v>
      </c>
      <c r="H33" s="13" t="s">
        <v>67</v>
      </c>
      <c r="I33" s="14"/>
      <c r="J33" s="56"/>
      <c r="K33" s="13" t="str">
        <v>george.bush@email.com</v>
      </c>
      <c r="O33" s="4"/>
      <c r="P33" s="3"/>
      <c r="Q33" s="2"/>
      <c r="R33" s="1"/>
    </row>
    <row r="34" spans="2:19" ht="15.75" x14ac:dyDescent="0.2">
      <c r="B34" s="1"/>
      <c r="C34" s="2"/>
      <c r="D34" s="3"/>
      <c r="E34" s="4"/>
      <c r="G34" s="13" t="s">
        <v>68</v>
      </c>
      <c r="H34" s="13" t="s">
        <v>69</v>
      </c>
      <c r="I34" s="14"/>
      <c r="J34" s="56"/>
      <c r="K34" s="13" t="str">
        <v>bill.clinton@email.com</v>
      </c>
      <c r="O34" s="4"/>
      <c r="P34" s="3"/>
      <c r="Q34" s="2"/>
      <c r="R34" s="1"/>
    </row>
    <row r="35" spans="2:19" x14ac:dyDescent="0.2">
      <c r="B35" s="1"/>
      <c r="C35" s="2"/>
      <c r="D35" s="3"/>
      <c r="E35" s="4"/>
      <c r="O35" s="4"/>
      <c r="P35" s="3"/>
      <c r="Q35" s="2"/>
      <c r="R35" s="1"/>
    </row>
    <row r="36" spans="2:19" ht="9.4" customHeight="1" x14ac:dyDescent="0.2">
      <c r="B36" s="1"/>
      <c r="C36" s="2"/>
      <c r="D36" s="3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3"/>
      <c r="Q36" s="2"/>
      <c r="R36" s="1"/>
    </row>
    <row r="37" spans="2:19" ht="9.4" customHeight="1" x14ac:dyDescent="0.2">
      <c r="B37" s="1"/>
      <c r="C37" s="2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2"/>
      <c r="R37" s="1"/>
    </row>
    <row r="38" spans="2:19" ht="9.4" customHeight="1" x14ac:dyDescent="0.2">
      <c r="B38" s="1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1"/>
    </row>
    <row r="39" spans="2:19" ht="9.4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2:19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2:19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2:19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2:19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2:19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2:19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2:19" ht="9.4" customHeight="1" x14ac:dyDescent="0.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19" ht="9.4" customHeight="1" x14ac:dyDescent="0.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19" ht="9.4" customHeight="1" x14ac:dyDescent="0.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2:19" ht="9.4" customHeight="1" x14ac:dyDescent="0.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2:19" x14ac:dyDescent="0.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2:19" x14ac:dyDescent="0.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2:19" x14ac:dyDescent="0.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2:19" x14ac:dyDescent="0.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2:19" x14ac:dyDescent="0.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2:19" x14ac:dyDescent="0.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2:19" x14ac:dyDescent="0.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2:19" x14ac:dyDescent="0.2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2:19" x14ac:dyDescent="0.2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2:19" x14ac:dyDescent="0.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2:19" x14ac:dyDescent="0.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2:19" x14ac:dyDescent="0.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2:19" x14ac:dyDescent="0.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2:19" x14ac:dyDescent="0.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2:19" x14ac:dyDescent="0.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2:19" x14ac:dyDescent="0.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2:19" x14ac:dyDescent="0.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2:19" x14ac:dyDescent="0.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2:19" x14ac:dyDescent="0.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2:19" x14ac:dyDescent="0.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2:19" x14ac:dyDescent="0.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</sheetData>
  <mergeCells count="11">
    <mergeCell ref="G28:H28"/>
    <mergeCell ref="J30:J34"/>
    <mergeCell ref="G7:M7"/>
    <mergeCell ref="G10:H10"/>
    <mergeCell ref="G14:M14"/>
    <mergeCell ref="G17:H17"/>
    <mergeCell ref="J19:J23"/>
    <mergeCell ref="G25:M25"/>
    <mergeCell ref="G8:M8"/>
    <mergeCell ref="G15:M15"/>
    <mergeCell ref="G26:M2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9D97F-3218-4D14-85A4-4D8892C2C26E}">
  <sheetPr codeName="Sheet2"/>
  <dimension ref="B1:Z80"/>
  <sheetViews>
    <sheetView showGridLines="0" zoomScale="90" zoomScaleNormal="90" workbookViewId="0"/>
  </sheetViews>
  <sheetFormatPr defaultColWidth="9" defaultRowHeight="12.75" x14ac:dyDescent="0.2"/>
  <cols>
    <col min="1" max="1" width="5.7109375" style="5" customWidth="1"/>
    <col min="2" max="5" width="1.7109375" style="5" customWidth="1"/>
    <col min="6" max="6" width="8.7109375" style="5" customWidth="1"/>
    <col min="7" max="7" width="9.42578125" style="5" bestFit="1" customWidth="1"/>
    <col min="8" max="8" width="6.7109375" style="5" bestFit="1" customWidth="1"/>
    <col min="9" max="9" width="19.140625" style="5" customWidth="1"/>
    <col min="10" max="11" width="21" style="5" customWidth="1"/>
    <col min="12" max="12" width="16.140625" style="5" bestFit="1" customWidth="1"/>
    <col min="13" max="13" width="18.5703125" style="5" bestFit="1" customWidth="1"/>
    <col min="14" max="14" width="11.85546875" style="5" bestFit="1" customWidth="1"/>
    <col min="15" max="15" width="5.28515625" style="5" bestFit="1" customWidth="1"/>
    <col min="16" max="16" width="13.42578125" style="5" customWidth="1"/>
    <col min="17" max="20" width="1.7109375" style="5" customWidth="1"/>
    <col min="21" max="21" width="8.7109375" style="5" customWidth="1"/>
    <col min="27" max="16384" width="9" style="5"/>
  </cols>
  <sheetData>
    <row r="1" spans="2:20" ht="21.95" customHeight="1" x14ac:dyDescent="0.2"/>
    <row r="2" spans="2:20" ht="9.4" customHeight="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2:20" ht="9.4" customHeight="1" x14ac:dyDescent="0.2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1"/>
    </row>
    <row r="4" spans="2:20" ht="9.4" customHeight="1" x14ac:dyDescent="0.2">
      <c r="B4" s="1"/>
      <c r="C4" s="2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2"/>
      <c r="T4" s="1"/>
    </row>
    <row r="5" spans="2:20" ht="9.4" customHeight="1" x14ac:dyDescent="0.2">
      <c r="B5" s="1"/>
      <c r="C5" s="2"/>
      <c r="D5" s="3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3"/>
      <c r="S5" s="2"/>
      <c r="T5" s="1"/>
    </row>
    <row r="6" spans="2:20" ht="9.4" customHeight="1" x14ac:dyDescent="0.2">
      <c r="B6" s="1"/>
      <c r="C6" s="2"/>
      <c r="D6" s="3"/>
      <c r="E6" s="4"/>
      <c r="Q6" s="4"/>
      <c r="R6" s="3"/>
      <c r="S6" s="2"/>
      <c r="T6" s="1"/>
    </row>
    <row r="7" spans="2:20" ht="26.25" x14ac:dyDescent="0.2">
      <c r="B7" s="1"/>
      <c r="C7" s="2"/>
      <c r="D7" s="3"/>
      <c r="E7" s="4"/>
      <c r="G7" s="57" t="s">
        <v>70</v>
      </c>
      <c r="H7" s="57"/>
      <c r="I7" s="57"/>
      <c r="J7" s="57"/>
      <c r="K7" s="57"/>
      <c r="L7" s="57"/>
      <c r="M7" s="57"/>
      <c r="N7" s="57"/>
      <c r="O7" s="57"/>
      <c r="P7"/>
      <c r="Q7" s="4"/>
      <c r="R7" s="3"/>
      <c r="S7" s="2"/>
      <c r="T7" s="1"/>
    </row>
    <row r="8" spans="2:20" ht="15.95" customHeight="1" x14ac:dyDescent="0.2">
      <c r="B8" s="1"/>
      <c r="C8" s="2"/>
      <c r="D8" s="3"/>
      <c r="E8" s="4"/>
      <c r="G8" s="58" t="s">
        <v>82</v>
      </c>
      <c r="H8" s="58"/>
      <c r="I8" s="58"/>
      <c r="J8" s="58"/>
      <c r="K8" s="58"/>
      <c r="L8" s="58"/>
      <c r="M8" s="58"/>
      <c r="N8" s="58"/>
      <c r="O8" s="58"/>
      <c r="P8"/>
      <c r="Q8" s="4"/>
      <c r="R8" s="3"/>
      <c r="S8" s="2"/>
      <c r="T8" s="1"/>
    </row>
    <row r="9" spans="2:20" ht="12.95" customHeight="1" x14ac:dyDescent="0.2">
      <c r="B9" s="1"/>
      <c r="C9" s="2"/>
      <c r="D9" s="3"/>
      <c r="E9" s="4"/>
      <c r="G9" s="31"/>
      <c r="H9" s="31"/>
      <c r="I9" s="31"/>
      <c r="J9" s="31"/>
      <c r="K9" s="31"/>
      <c r="L9" s="31"/>
      <c r="M9" s="31"/>
      <c r="N9" s="31"/>
      <c r="O9" s="31"/>
      <c r="P9"/>
      <c r="Q9" s="4"/>
      <c r="R9" s="3"/>
      <c r="S9" s="2"/>
      <c r="T9" s="1"/>
    </row>
    <row r="10" spans="2:20" ht="23.25" x14ac:dyDescent="0.2">
      <c r="B10" s="1"/>
      <c r="C10" s="2"/>
      <c r="D10" s="3"/>
      <c r="E10" s="4"/>
      <c r="H10" s="55" t="s">
        <v>52</v>
      </c>
      <c r="I10" s="55"/>
      <c r="J10" s="55"/>
      <c r="K10" s="55"/>
      <c r="L10" s="55"/>
      <c r="M10" s="55"/>
      <c r="N10" s="55"/>
      <c r="O10" s="15"/>
      <c r="P10"/>
      <c r="Q10" s="4"/>
      <c r="R10" s="3"/>
      <c r="S10" s="2"/>
      <c r="T10" s="1"/>
    </row>
    <row r="11" spans="2:20" ht="15.75" x14ac:dyDescent="0.2">
      <c r="B11" s="1"/>
      <c r="C11" s="2"/>
      <c r="D11" s="3"/>
      <c r="E11" s="4"/>
      <c r="G11" s="24"/>
      <c r="H11" s="50" t="s">
        <v>87</v>
      </c>
      <c r="I11" s="50" t="s">
        <v>3</v>
      </c>
      <c r="J11" s="50" t="s">
        <v>4</v>
      </c>
      <c r="K11" s="50" t="s">
        <v>5</v>
      </c>
      <c r="L11" s="50" t="s">
        <v>6</v>
      </c>
      <c r="M11" s="50" t="s">
        <v>7</v>
      </c>
      <c r="N11" s="50" t="s">
        <v>8</v>
      </c>
      <c r="O11" s="8"/>
      <c r="Q11" s="4"/>
      <c r="R11" s="3"/>
      <c r="S11" s="2"/>
      <c r="T11" s="1"/>
    </row>
    <row r="12" spans="2:20" ht="13.35" customHeight="1" x14ac:dyDescent="0.2">
      <c r="B12" s="1"/>
      <c r="C12" s="2"/>
      <c r="D12" s="3"/>
      <c r="E12" s="4"/>
      <c r="H12" s="35">
        <v>1</v>
      </c>
      <c r="I12" s="35" t="s">
        <v>11</v>
      </c>
      <c r="J12" s="35" t="s">
        <v>12</v>
      </c>
      <c r="K12" s="35" t="s">
        <v>13</v>
      </c>
      <c r="L12" s="35" t="s">
        <v>14</v>
      </c>
      <c r="M12" s="36">
        <v>114100000</v>
      </c>
      <c r="N12" s="35">
        <v>2019</v>
      </c>
      <c r="O12" s="7"/>
      <c r="Q12" s="4"/>
      <c r="R12" s="3"/>
      <c r="S12" s="2"/>
      <c r="T12" s="1"/>
    </row>
    <row r="13" spans="2:20" ht="13.15" customHeight="1" x14ac:dyDescent="0.2">
      <c r="B13" s="1"/>
      <c r="C13" s="2"/>
      <c r="D13" s="3"/>
      <c r="E13" s="4"/>
      <c r="H13" s="35">
        <v>2</v>
      </c>
      <c r="I13" s="35" t="s">
        <v>17</v>
      </c>
      <c r="J13" s="35" t="s">
        <v>13</v>
      </c>
      <c r="K13" s="35" t="s">
        <v>18</v>
      </c>
      <c r="L13" s="35" t="s">
        <v>14</v>
      </c>
      <c r="M13" s="36">
        <v>107000000</v>
      </c>
      <c r="N13" s="35">
        <v>2019</v>
      </c>
      <c r="O13" s="7"/>
      <c r="Q13" s="4"/>
      <c r="R13" s="3"/>
      <c r="S13" s="2"/>
      <c r="T13" s="1"/>
    </row>
    <row r="14" spans="2:20" ht="13.15" customHeight="1" x14ac:dyDescent="0.2">
      <c r="B14" s="1"/>
      <c r="C14" s="2"/>
      <c r="D14" s="3"/>
      <c r="E14" s="4"/>
      <c r="H14" s="35">
        <v>3</v>
      </c>
      <c r="I14" s="35" t="s">
        <v>21</v>
      </c>
      <c r="J14" s="35" t="s">
        <v>22</v>
      </c>
      <c r="K14" s="35" t="s">
        <v>23</v>
      </c>
      <c r="L14" s="35" t="s">
        <v>14</v>
      </c>
      <c r="M14" s="36">
        <v>89000000</v>
      </c>
      <c r="N14" s="35">
        <v>2019</v>
      </c>
      <c r="O14" s="7"/>
      <c r="Q14" s="4"/>
      <c r="R14" s="3"/>
      <c r="S14" s="2"/>
      <c r="T14" s="1"/>
    </row>
    <row r="15" spans="2:20" x14ac:dyDescent="0.2">
      <c r="B15" s="1"/>
      <c r="C15" s="2"/>
      <c r="D15" s="3"/>
      <c r="E15" s="4"/>
      <c r="H15" s="35">
        <v>4</v>
      </c>
      <c r="I15" s="35" t="s">
        <v>24</v>
      </c>
      <c r="J15" s="35" t="s">
        <v>25</v>
      </c>
      <c r="K15" s="35" t="s">
        <v>26</v>
      </c>
      <c r="L15" s="35" t="s">
        <v>27</v>
      </c>
      <c r="M15" s="36">
        <v>80000000</v>
      </c>
      <c r="N15" s="35">
        <v>2019</v>
      </c>
      <c r="O15" s="7"/>
      <c r="Q15" s="4"/>
      <c r="R15" s="3"/>
      <c r="S15" s="2"/>
      <c r="T15" s="1"/>
    </row>
    <row r="16" spans="2:20" x14ac:dyDescent="0.2">
      <c r="B16" s="1"/>
      <c r="C16" s="2"/>
      <c r="D16" s="3"/>
      <c r="E16" s="4"/>
      <c r="H16" s="35">
        <v>5</v>
      </c>
      <c r="I16" s="35" t="s">
        <v>28</v>
      </c>
      <c r="J16" s="35" t="s">
        <v>29</v>
      </c>
      <c r="K16" s="35" t="s">
        <v>30</v>
      </c>
      <c r="L16" s="35" t="s">
        <v>14</v>
      </c>
      <c r="M16" s="36">
        <v>163000000</v>
      </c>
      <c r="N16" s="35">
        <v>2018</v>
      </c>
      <c r="O16" s="7"/>
      <c r="Q16" s="4"/>
      <c r="R16" s="3"/>
      <c r="S16" s="2"/>
      <c r="T16" s="1"/>
    </row>
    <row r="17" spans="2:20" x14ac:dyDescent="0.2">
      <c r="B17" s="1"/>
      <c r="C17" s="2"/>
      <c r="D17" s="3"/>
      <c r="E17" s="4"/>
      <c r="H17" s="35">
        <v>6</v>
      </c>
      <c r="I17" s="35" t="s">
        <v>31</v>
      </c>
      <c r="J17" s="35" t="s">
        <v>32</v>
      </c>
      <c r="K17" s="35" t="s">
        <v>18</v>
      </c>
      <c r="L17" s="35" t="s">
        <v>33</v>
      </c>
      <c r="M17" s="36">
        <v>105000000</v>
      </c>
      <c r="N17" s="35">
        <v>2018</v>
      </c>
      <c r="O17" s="7"/>
      <c r="Q17" s="4"/>
      <c r="R17" s="3"/>
      <c r="S17" s="2"/>
      <c r="T17" s="1"/>
    </row>
    <row r="18" spans="2:20" x14ac:dyDescent="0.2">
      <c r="B18" s="1"/>
      <c r="C18" s="2"/>
      <c r="D18" s="3"/>
      <c r="E18" s="4"/>
      <c r="H18" s="35">
        <v>7</v>
      </c>
      <c r="I18" s="35" t="s">
        <v>34</v>
      </c>
      <c r="J18" s="35" t="s">
        <v>23</v>
      </c>
      <c r="K18" s="35" t="s">
        <v>35</v>
      </c>
      <c r="L18" s="35" t="s">
        <v>14</v>
      </c>
      <c r="M18" s="36">
        <v>88000000</v>
      </c>
      <c r="N18" s="35">
        <v>2018</v>
      </c>
      <c r="O18" s="7"/>
      <c r="Q18" s="4"/>
      <c r="R18" s="3"/>
      <c r="S18" s="2"/>
      <c r="T18" s="1"/>
    </row>
    <row r="19" spans="2:20" x14ac:dyDescent="0.2">
      <c r="B19" s="1"/>
      <c r="C19" s="2"/>
      <c r="D19" s="3"/>
      <c r="E19" s="4"/>
      <c r="H19" s="35">
        <v>8</v>
      </c>
      <c r="I19" s="35" t="s">
        <v>36</v>
      </c>
      <c r="J19" s="35" t="s">
        <v>18</v>
      </c>
      <c r="K19" s="35" t="s">
        <v>30</v>
      </c>
      <c r="L19" s="35" t="s">
        <v>14</v>
      </c>
      <c r="M19" s="36">
        <v>198000000</v>
      </c>
      <c r="N19" s="35">
        <v>2017</v>
      </c>
      <c r="O19" s="7"/>
      <c r="Q19" s="4"/>
      <c r="R19" s="3"/>
      <c r="S19" s="2"/>
      <c r="T19" s="1"/>
    </row>
    <row r="20" spans="2:20" x14ac:dyDescent="0.2">
      <c r="B20" s="1"/>
      <c r="C20" s="2"/>
      <c r="D20" s="3"/>
      <c r="E20" s="4"/>
      <c r="H20" s="35">
        <v>9</v>
      </c>
      <c r="I20" s="35" t="s">
        <v>38</v>
      </c>
      <c r="J20" s="35" t="s">
        <v>39</v>
      </c>
      <c r="K20" s="35" t="s">
        <v>18</v>
      </c>
      <c r="L20" s="35" t="s">
        <v>14</v>
      </c>
      <c r="M20" s="36">
        <v>97000000</v>
      </c>
      <c r="N20" s="35">
        <v>2017</v>
      </c>
      <c r="O20" s="7"/>
      <c r="Q20" s="4"/>
      <c r="R20" s="3"/>
      <c r="S20" s="2"/>
      <c r="T20" s="1"/>
    </row>
    <row r="21" spans="2:20" x14ac:dyDescent="0.2">
      <c r="B21" s="1"/>
      <c r="C21" s="2"/>
      <c r="D21" s="3"/>
      <c r="E21" s="4"/>
      <c r="H21" s="35">
        <v>10</v>
      </c>
      <c r="I21" s="35" t="s">
        <v>40</v>
      </c>
      <c r="J21" s="35" t="s">
        <v>35</v>
      </c>
      <c r="K21" s="35" t="s">
        <v>26</v>
      </c>
      <c r="L21" s="35" t="s">
        <v>33</v>
      </c>
      <c r="M21" s="36">
        <v>89000000</v>
      </c>
      <c r="N21" s="35">
        <v>2016</v>
      </c>
      <c r="O21" s="7"/>
      <c r="Q21" s="4"/>
      <c r="R21" s="3"/>
      <c r="S21" s="2"/>
      <c r="T21" s="1"/>
    </row>
    <row r="22" spans="2:20" x14ac:dyDescent="0.2">
      <c r="B22" s="1"/>
      <c r="C22" s="2"/>
      <c r="D22" s="3"/>
      <c r="E22" s="4"/>
      <c r="H22" s="35">
        <v>11</v>
      </c>
      <c r="I22" s="35" t="s">
        <v>42</v>
      </c>
      <c r="J22" s="35" t="s">
        <v>43</v>
      </c>
      <c r="K22" s="35" t="s">
        <v>35</v>
      </c>
      <c r="L22" s="35" t="s">
        <v>44</v>
      </c>
      <c r="M22" s="36">
        <v>75300000</v>
      </c>
      <c r="N22" s="35">
        <v>2016</v>
      </c>
      <c r="O22" s="7"/>
      <c r="Q22" s="4"/>
      <c r="R22" s="3"/>
      <c r="S22" s="2"/>
      <c r="T22" s="1"/>
    </row>
    <row r="23" spans="2:20" x14ac:dyDescent="0.2">
      <c r="B23" s="1"/>
      <c r="C23" s="2"/>
      <c r="D23" s="3"/>
      <c r="E23" s="4"/>
      <c r="H23" s="35">
        <v>12</v>
      </c>
      <c r="I23" s="35" t="s">
        <v>45</v>
      </c>
      <c r="J23" s="35" t="s">
        <v>46</v>
      </c>
      <c r="K23" s="35" t="s">
        <v>23</v>
      </c>
      <c r="L23" s="35" t="s">
        <v>14</v>
      </c>
      <c r="M23" s="36">
        <v>86000000</v>
      </c>
      <c r="N23" s="35">
        <v>2013</v>
      </c>
      <c r="O23" s="7"/>
      <c r="Q23" s="4"/>
      <c r="R23" s="3"/>
      <c r="S23" s="2"/>
      <c r="T23" s="1"/>
    </row>
    <row r="24" spans="2:20" x14ac:dyDescent="0.2">
      <c r="B24" s="1"/>
      <c r="C24" s="2"/>
      <c r="D24" s="3"/>
      <c r="E24" s="4"/>
      <c r="H24" s="35">
        <v>13</v>
      </c>
      <c r="I24" s="35" t="s">
        <v>34</v>
      </c>
      <c r="J24" s="35" t="s">
        <v>26</v>
      </c>
      <c r="K24" s="35" t="s">
        <v>23</v>
      </c>
      <c r="L24" s="35" t="s">
        <v>14</v>
      </c>
      <c r="M24" s="36">
        <v>80000000</v>
      </c>
      <c r="N24" s="35">
        <v>2009</v>
      </c>
      <c r="O24" s="7"/>
      <c r="Q24" s="4"/>
      <c r="R24" s="3"/>
      <c r="S24" s="2"/>
      <c r="T24" s="1"/>
    </row>
    <row r="25" spans="2:20" x14ac:dyDescent="0.2">
      <c r="B25" s="1"/>
      <c r="C25" s="2"/>
      <c r="D25" s="3"/>
      <c r="E25" s="4"/>
      <c r="G25"/>
      <c r="H25"/>
      <c r="I25"/>
      <c r="J25"/>
      <c r="K25"/>
      <c r="L25"/>
      <c r="M25"/>
      <c r="N25"/>
      <c r="O25"/>
      <c r="Q25" s="4"/>
      <c r="R25" s="3"/>
      <c r="S25" s="2"/>
      <c r="T25" s="1"/>
    </row>
    <row r="26" spans="2:20" ht="21" x14ac:dyDescent="0.2">
      <c r="B26" s="1"/>
      <c r="C26" s="2"/>
      <c r="D26" s="3"/>
      <c r="E26" s="4"/>
      <c r="G26" s="55" t="s">
        <v>49</v>
      </c>
      <c r="H26" s="55"/>
      <c r="I26" s="55"/>
      <c r="J26" s="55"/>
      <c r="K26" s="55"/>
      <c r="M26" s="55" t="s">
        <v>85</v>
      </c>
      <c r="N26" s="55"/>
      <c r="O26" s="55"/>
      <c r="Q26" s="4"/>
      <c r="R26" s="3"/>
      <c r="S26" s="2"/>
      <c r="T26" s="1"/>
    </row>
    <row r="27" spans="2:20" ht="12.95" customHeight="1" x14ac:dyDescent="0.2">
      <c r="B27" s="1"/>
      <c r="C27" s="2"/>
      <c r="D27" s="3"/>
      <c r="E27" s="4"/>
      <c r="G27" s="59" t="s">
        <v>88</v>
      </c>
      <c r="H27" s="59"/>
      <c r="I27" s="59"/>
      <c r="J27" s="59"/>
      <c r="K27" s="59"/>
      <c r="M27" s="43" t="s">
        <v>3</v>
      </c>
      <c r="N27" s="43" t="s">
        <v>7</v>
      </c>
      <c r="O27" s="43" t="s">
        <v>8</v>
      </c>
      <c r="Q27" s="4"/>
      <c r="R27" s="3"/>
      <c r="S27" s="2"/>
      <c r="T27" s="1"/>
    </row>
    <row r="28" spans="2:20" ht="12.95" customHeight="1" x14ac:dyDescent="0.2">
      <c r="B28" s="1"/>
      <c r="C28" s="2"/>
      <c r="D28" s="3"/>
      <c r="E28" s="4"/>
      <c r="G28" s="60"/>
      <c r="H28" s="60"/>
      <c r="I28" s="60"/>
      <c r="J28" s="60"/>
      <c r="K28" s="60"/>
      <c r="M28" s="5" t="str" cm="1">
        <f t="array" ref="M28:O30">MostExpensiveTransfers(I16:I18)</f>
        <v> Kylian Mbappé</v>
      </c>
      <c r="N28" s="9">
        <v>163000000</v>
      </c>
      <c r="O28" s="5">
        <v>2018</v>
      </c>
      <c r="Q28" s="4"/>
      <c r="R28" s="3"/>
      <c r="S28" s="2"/>
      <c r="T28" s="1"/>
    </row>
    <row r="29" spans="2:20" ht="12.95" customHeight="1" x14ac:dyDescent="0.2">
      <c r="B29" s="1"/>
      <c r="C29" s="2"/>
      <c r="D29" s="3"/>
      <c r="E29" s="4"/>
      <c r="G29" s="60"/>
      <c r="H29" s="60"/>
      <c r="I29" s="60"/>
      <c r="J29" s="60"/>
      <c r="K29" s="60"/>
      <c r="M29" s="5" t="str">
        <v> Philippe Coutinho</v>
      </c>
      <c r="N29" s="9">
        <v>105000000</v>
      </c>
      <c r="O29" s="5">
        <v>2018</v>
      </c>
      <c r="Q29" s="4"/>
      <c r="R29" s="3"/>
      <c r="S29" s="2"/>
      <c r="T29" s="1"/>
    </row>
    <row r="30" spans="2:20" ht="12.95" customHeight="1" x14ac:dyDescent="0.2">
      <c r="B30" s="1"/>
      <c r="C30" s="2"/>
      <c r="D30" s="3"/>
      <c r="E30" s="4"/>
      <c r="G30" s="60"/>
      <c r="H30" s="60"/>
      <c r="I30" s="60"/>
      <c r="J30" s="60"/>
      <c r="K30" s="60"/>
      <c r="M30" s="5" t="str">
        <v> Cristiano Ronaldo</v>
      </c>
      <c r="N30" s="9">
        <v>88000000</v>
      </c>
      <c r="O30" s="5">
        <v>2018</v>
      </c>
      <c r="Q30" s="4"/>
      <c r="R30" s="3"/>
      <c r="S30" s="2"/>
      <c r="T30" s="1"/>
    </row>
    <row r="31" spans="2:20" ht="12.95" customHeight="1" x14ac:dyDescent="0.2">
      <c r="B31" s="1"/>
      <c r="C31" s="2"/>
      <c r="D31" s="3"/>
      <c r="E31" s="4"/>
      <c r="G31" s="60"/>
      <c r="H31" s="60"/>
      <c r="I31" s="60"/>
      <c r="J31" s="60"/>
      <c r="K31" s="60"/>
      <c r="N31" s="9"/>
      <c r="Q31" s="4"/>
      <c r="R31" s="3"/>
      <c r="S31" s="2"/>
      <c r="T31" s="1"/>
    </row>
    <row r="32" spans="2:20" ht="12.95" customHeight="1" x14ac:dyDescent="0.2">
      <c r="B32" s="1"/>
      <c r="C32" s="2"/>
      <c r="D32" s="3"/>
      <c r="E32" s="4"/>
      <c r="G32" s="60"/>
      <c r="H32" s="60"/>
      <c r="I32" s="60"/>
      <c r="J32" s="60"/>
      <c r="K32" s="60"/>
      <c r="N32" s="9"/>
      <c r="Q32" s="4"/>
      <c r="R32" s="3"/>
      <c r="S32" s="2"/>
      <c r="T32" s="1"/>
    </row>
    <row r="33" spans="2:20" ht="12.95" customHeight="1" x14ac:dyDescent="0.2">
      <c r="B33" s="1"/>
      <c r="C33" s="2"/>
      <c r="D33" s="3"/>
      <c r="E33" s="4"/>
      <c r="G33" s="60"/>
      <c r="H33" s="60"/>
      <c r="I33" s="60"/>
      <c r="J33" s="60"/>
      <c r="K33" s="60"/>
      <c r="N33" s="9"/>
      <c r="Q33" s="4"/>
      <c r="R33" s="3"/>
      <c r="S33" s="2"/>
      <c r="T33" s="1"/>
    </row>
    <row r="34" spans="2:20" ht="12.95" customHeight="1" x14ac:dyDescent="0.2">
      <c r="B34" s="1"/>
      <c r="C34" s="2"/>
      <c r="D34" s="3"/>
      <c r="E34" s="4"/>
      <c r="G34" s="60"/>
      <c r="H34" s="60"/>
      <c r="I34" s="60"/>
      <c r="J34" s="60"/>
      <c r="K34" s="60"/>
      <c r="N34" s="9"/>
      <c r="Q34" s="4"/>
      <c r="R34" s="3"/>
      <c r="S34" s="2"/>
      <c r="T34" s="1"/>
    </row>
    <row r="35" spans="2:20" ht="12.95" customHeight="1" x14ac:dyDescent="0.2">
      <c r="B35" s="1"/>
      <c r="C35" s="2"/>
      <c r="D35" s="3"/>
      <c r="E35" s="4"/>
      <c r="G35" s="60"/>
      <c r="H35" s="60"/>
      <c r="I35" s="60"/>
      <c r="J35" s="60"/>
      <c r="K35" s="60"/>
      <c r="N35" s="9"/>
      <c r="Q35" s="4"/>
      <c r="R35" s="3"/>
      <c r="S35" s="2"/>
      <c r="T35" s="1"/>
    </row>
    <row r="36" spans="2:20" ht="12.95" customHeight="1" x14ac:dyDescent="0.2">
      <c r="B36" s="1"/>
      <c r="C36" s="2"/>
      <c r="D36" s="3"/>
      <c r="E36" s="4"/>
      <c r="G36" s="60"/>
      <c r="H36" s="60"/>
      <c r="I36" s="60"/>
      <c r="J36" s="60"/>
      <c r="K36" s="60"/>
      <c r="N36" s="9"/>
      <c r="Q36" s="4"/>
      <c r="R36" s="3"/>
      <c r="S36" s="2"/>
      <c r="T36" s="1"/>
    </row>
    <row r="37" spans="2:20" ht="12.95" customHeight="1" x14ac:dyDescent="0.2">
      <c r="B37" s="1"/>
      <c r="C37" s="2"/>
      <c r="D37" s="3"/>
      <c r="E37" s="4"/>
      <c r="G37" s="60"/>
      <c r="H37" s="60"/>
      <c r="I37" s="60"/>
      <c r="J37" s="60"/>
      <c r="K37" s="60"/>
      <c r="N37" s="9"/>
      <c r="Q37" s="4"/>
      <c r="R37" s="3"/>
      <c r="S37" s="2"/>
      <c r="T37" s="1"/>
    </row>
    <row r="38" spans="2:20" ht="12.95" customHeight="1" x14ac:dyDescent="0.2">
      <c r="B38" s="1"/>
      <c r="C38" s="2"/>
      <c r="D38" s="3"/>
      <c r="E38" s="4"/>
      <c r="G38" s="60"/>
      <c r="H38" s="60"/>
      <c r="I38" s="60"/>
      <c r="J38" s="60"/>
      <c r="K38" s="60"/>
      <c r="N38" s="9"/>
      <c r="Q38" s="4"/>
      <c r="R38" s="3"/>
      <c r="S38" s="2"/>
      <c r="T38" s="1"/>
    </row>
    <row r="39" spans="2:20" ht="12.95" customHeight="1" x14ac:dyDescent="0.2">
      <c r="B39" s="1"/>
      <c r="C39" s="2"/>
      <c r="D39" s="3"/>
      <c r="E39" s="4"/>
      <c r="G39" s="60"/>
      <c r="H39" s="60"/>
      <c r="I39" s="60"/>
      <c r="J39" s="60"/>
      <c r="K39" s="60"/>
      <c r="L39"/>
      <c r="N39" s="9"/>
      <c r="Q39" s="4"/>
      <c r="R39" s="3"/>
      <c r="S39" s="2"/>
      <c r="T39" s="1"/>
    </row>
    <row r="40" spans="2:20" ht="12.95" customHeight="1" x14ac:dyDescent="0.2">
      <c r="B40" s="1"/>
      <c r="C40" s="2"/>
      <c r="D40" s="3"/>
      <c r="E40" s="4"/>
      <c r="G40" s="60"/>
      <c r="H40" s="60"/>
      <c r="I40" s="60"/>
      <c r="J40" s="60"/>
      <c r="K40" s="60"/>
      <c r="L40"/>
      <c r="N40" s="9"/>
      <c r="Q40" s="4"/>
      <c r="R40" s="3"/>
      <c r="S40" s="2"/>
      <c r="T40" s="1"/>
    </row>
    <row r="41" spans="2:20" ht="12.95" customHeight="1" x14ac:dyDescent="0.2">
      <c r="B41" s="1"/>
      <c r="C41" s="2"/>
      <c r="D41" s="3"/>
      <c r="E41" s="4"/>
      <c r="G41" s="60"/>
      <c r="H41" s="60"/>
      <c r="I41" s="60"/>
      <c r="J41" s="60"/>
      <c r="K41" s="60"/>
      <c r="L41"/>
      <c r="M41"/>
      <c r="N41"/>
      <c r="O41"/>
      <c r="Q41" s="4"/>
      <c r="R41" s="3"/>
      <c r="S41" s="2"/>
      <c r="T41" s="1"/>
    </row>
    <row r="42" spans="2:20" ht="14.45" customHeight="1" x14ac:dyDescent="0.2">
      <c r="B42" s="1"/>
      <c r="C42" s="2"/>
      <c r="D42" s="3"/>
      <c r="E42" s="4"/>
      <c r="G42" s="60"/>
      <c r="H42" s="60"/>
      <c r="I42" s="60"/>
      <c r="J42" s="60"/>
      <c r="K42" s="60"/>
      <c r="L42"/>
      <c r="M42"/>
      <c r="N42"/>
      <c r="O42"/>
      <c r="Q42" s="4"/>
      <c r="R42" s="3"/>
      <c r="S42" s="2"/>
      <c r="T42" s="1"/>
    </row>
    <row r="43" spans="2:20" ht="14.45" customHeight="1" x14ac:dyDescent="0.2">
      <c r="B43" s="1"/>
      <c r="C43" s="2"/>
      <c r="D43" s="3"/>
      <c r="E43" s="4"/>
      <c r="G43" s="60"/>
      <c r="H43" s="60"/>
      <c r="I43" s="60"/>
      <c r="J43" s="60"/>
      <c r="K43" s="60"/>
      <c r="L43"/>
      <c r="M43"/>
      <c r="N43"/>
      <c r="O43"/>
      <c r="Q43" s="4"/>
      <c r="R43" s="3"/>
      <c r="S43" s="2"/>
      <c r="T43" s="1"/>
    </row>
    <row r="44" spans="2:20" ht="14.45" customHeight="1" x14ac:dyDescent="0.2">
      <c r="B44" s="1"/>
      <c r="C44" s="2"/>
      <c r="D44" s="3"/>
      <c r="E44" s="4"/>
      <c r="G44" s="60"/>
      <c r="H44" s="60"/>
      <c r="I44" s="60"/>
      <c r="J44" s="60"/>
      <c r="K44" s="60"/>
      <c r="L44"/>
      <c r="M44"/>
      <c r="N44"/>
      <c r="O44"/>
      <c r="Q44" s="4"/>
      <c r="R44" s="3"/>
      <c r="S44" s="2"/>
      <c r="T44" s="1"/>
    </row>
    <row r="45" spans="2:20" ht="14.45" customHeight="1" x14ac:dyDescent="0.2">
      <c r="B45" s="1"/>
      <c r="C45" s="2"/>
      <c r="D45" s="3"/>
      <c r="E45" s="4"/>
      <c r="G45" s="33"/>
      <c r="H45" s="33"/>
      <c r="I45" s="33"/>
      <c r="J45" s="33"/>
      <c r="K45"/>
      <c r="L45"/>
      <c r="M45"/>
      <c r="N45"/>
      <c r="O45"/>
      <c r="Q45" s="4"/>
      <c r="R45" s="3"/>
      <c r="S45" s="2"/>
      <c r="T45" s="1"/>
    </row>
    <row r="46" spans="2:20" ht="9.4" customHeight="1" x14ac:dyDescent="0.2">
      <c r="B46" s="1"/>
      <c r="C46" s="2"/>
      <c r="D46" s="3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3"/>
      <c r="S46" s="2"/>
      <c r="T46" s="1"/>
    </row>
    <row r="47" spans="2:20" ht="9.4" customHeight="1" x14ac:dyDescent="0.2">
      <c r="B47" s="1"/>
      <c r="C47" s="2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2"/>
      <c r="T47" s="1"/>
    </row>
    <row r="48" spans="2:20" ht="9.4" customHeight="1" x14ac:dyDescent="0.2">
      <c r="B48" s="1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1"/>
    </row>
    <row r="49" spans="2:21" ht="9.4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2:21" x14ac:dyDescent="0.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Q50"/>
      <c r="R50"/>
      <c r="S50"/>
      <c r="T50"/>
      <c r="U50"/>
    </row>
    <row r="51" spans="2:21" x14ac:dyDescent="0.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Q51"/>
      <c r="R51"/>
      <c r="S51"/>
      <c r="T51"/>
      <c r="U51"/>
    </row>
    <row r="52" spans="2:21" x14ac:dyDescent="0.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Q52"/>
      <c r="R52"/>
      <c r="S52"/>
      <c r="T52"/>
      <c r="U52"/>
    </row>
    <row r="53" spans="2:21" x14ac:dyDescent="0.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Q53"/>
      <c r="R53"/>
      <c r="S53"/>
      <c r="T53"/>
      <c r="U53"/>
    </row>
    <row r="54" spans="2:21" x14ac:dyDescent="0.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Q54"/>
      <c r="R54"/>
      <c r="S54"/>
      <c r="T54"/>
      <c r="U54"/>
    </row>
    <row r="55" spans="2:21" x14ac:dyDescent="0.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Q55"/>
      <c r="R55"/>
      <c r="S55"/>
      <c r="T55"/>
      <c r="U55"/>
    </row>
    <row r="56" spans="2:21" ht="9.4" customHeight="1" x14ac:dyDescent="0.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Q56"/>
      <c r="R56"/>
      <c r="S56"/>
      <c r="T56"/>
      <c r="U56"/>
    </row>
    <row r="57" spans="2:21" ht="9.4" customHeight="1" x14ac:dyDescent="0.2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Q57"/>
      <c r="R57"/>
      <c r="S57"/>
      <c r="T57"/>
      <c r="U57"/>
    </row>
    <row r="58" spans="2:21" ht="9.4" customHeight="1" x14ac:dyDescent="0.2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Q58"/>
      <c r="R58"/>
      <c r="S58"/>
      <c r="T58"/>
      <c r="U58"/>
    </row>
    <row r="59" spans="2:21" ht="9.4" customHeight="1" x14ac:dyDescent="0.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Q59"/>
      <c r="R59"/>
      <c r="S59"/>
      <c r="T59"/>
      <c r="U59"/>
    </row>
    <row r="60" spans="2:21" x14ac:dyDescent="0.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Q60"/>
      <c r="R60"/>
      <c r="S60"/>
      <c r="T60"/>
      <c r="U60"/>
    </row>
    <row r="61" spans="2:21" x14ac:dyDescent="0.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Q61"/>
      <c r="R61"/>
      <c r="S61"/>
      <c r="T61"/>
      <c r="U61"/>
    </row>
    <row r="62" spans="2:21" x14ac:dyDescent="0.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Q62"/>
      <c r="R62"/>
      <c r="S62"/>
      <c r="T62"/>
      <c r="U62"/>
    </row>
    <row r="63" spans="2:21" x14ac:dyDescent="0.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Q63"/>
      <c r="R63"/>
      <c r="S63"/>
      <c r="T63"/>
      <c r="U63"/>
    </row>
    <row r="64" spans="2:21" x14ac:dyDescent="0.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Q64"/>
      <c r="R64"/>
      <c r="S64"/>
      <c r="T64"/>
      <c r="U64"/>
    </row>
    <row r="65" spans="2:21" x14ac:dyDescent="0.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Q65"/>
      <c r="R65"/>
      <c r="S65"/>
      <c r="T65"/>
      <c r="U65"/>
    </row>
    <row r="66" spans="2:21" x14ac:dyDescent="0.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Q66"/>
      <c r="R66"/>
      <c r="S66"/>
      <c r="T66"/>
      <c r="U66"/>
    </row>
    <row r="67" spans="2:21" x14ac:dyDescent="0.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Q67"/>
      <c r="R67"/>
      <c r="S67"/>
      <c r="T67"/>
      <c r="U67"/>
    </row>
    <row r="68" spans="2:21" x14ac:dyDescent="0.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Q68"/>
      <c r="R68"/>
      <c r="S68"/>
      <c r="T68"/>
      <c r="U68"/>
    </row>
    <row r="69" spans="2:21" x14ac:dyDescent="0.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Q69"/>
      <c r="R69"/>
      <c r="S69"/>
      <c r="T69"/>
      <c r="U69"/>
    </row>
    <row r="70" spans="2:21" x14ac:dyDescent="0.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Q70"/>
      <c r="R70"/>
      <c r="S70"/>
      <c r="T70"/>
      <c r="U70"/>
    </row>
    <row r="71" spans="2:21" x14ac:dyDescent="0.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Q71"/>
      <c r="R71"/>
      <c r="S71"/>
      <c r="T71"/>
      <c r="U71"/>
    </row>
    <row r="72" spans="2:21" x14ac:dyDescent="0.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Q72"/>
      <c r="R72"/>
      <c r="S72"/>
      <c r="T72"/>
      <c r="U72"/>
    </row>
    <row r="73" spans="2:21" x14ac:dyDescent="0.2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Q73"/>
      <c r="R73"/>
      <c r="S73"/>
      <c r="T73"/>
      <c r="U73"/>
    </row>
    <row r="74" spans="2:21" x14ac:dyDescent="0.2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Q74"/>
      <c r="R74"/>
      <c r="S74"/>
      <c r="T74"/>
      <c r="U74"/>
    </row>
    <row r="75" spans="2:21" x14ac:dyDescent="0.2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Q75"/>
      <c r="R75"/>
      <c r="S75"/>
      <c r="T75"/>
      <c r="U75"/>
    </row>
    <row r="76" spans="2:21" x14ac:dyDescent="0.2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Q76"/>
      <c r="R76"/>
      <c r="S76"/>
      <c r="T76"/>
      <c r="U76"/>
    </row>
    <row r="77" spans="2:21" x14ac:dyDescent="0.2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Q77"/>
      <c r="R77"/>
      <c r="S77"/>
      <c r="T77"/>
      <c r="U77"/>
    </row>
    <row r="78" spans="2:21" x14ac:dyDescent="0.2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Q78"/>
      <c r="R78"/>
      <c r="S78"/>
      <c r="T78"/>
      <c r="U78"/>
    </row>
    <row r="79" spans="2:21" x14ac:dyDescent="0.2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Q79"/>
      <c r="R79"/>
      <c r="S79"/>
      <c r="T79"/>
      <c r="U79"/>
    </row>
    <row r="80" spans="2:21" x14ac:dyDescent="0.2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Q80"/>
      <c r="R80"/>
      <c r="S80"/>
      <c r="T80"/>
      <c r="U80"/>
    </row>
  </sheetData>
  <mergeCells count="6">
    <mergeCell ref="G7:O7"/>
    <mergeCell ref="G27:K44"/>
    <mergeCell ref="G26:K26"/>
    <mergeCell ref="M26:O26"/>
    <mergeCell ref="H10:N10"/>
    <mergeCell ref="G8:O8"/>
  </mergeCells>
  <conditionalFormatting sqref="M28:O34">
    <cfRule type="notContainsBlanks" dxfId="18" priority="3">
      <formula>LEN(TRIM(M28))&gt;0</formula>
    </cfRule>
  </conditionalFormatting>
  <conditionalFormatting sqref="M35:M40">
    <cfRule type="notContainsBlanks" dxfId="17" priority="2">
      <formula>LEN(TRIM(M35))&gt;0</formula>
    </cfRule>
  </conditionalFormatting>
  <conditionalFormatting sqref="N35:O40">
    <cfRule type="notContainsBlanks" dxfId="16" priority="1">
      <formula>LEN(TRIM(N35))&gt;0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98A5A-78DF-4B1E-83E6-123D9EA60E5B}">
  <sheetPr codeName="Sheet3"/>
  <dimension ref="B1:AB81"/>
  <sheetViews>
    <sheetView showGridLines="0" zoomScale="90" zoomScaleNormal="90" workbookViewId="0"/>
  </sheetViews>
  <sheetFormatPr defaultColWidth="9" defaultRowHeight="12.75" x14ac:dyDescent="0.2"/>
  <cols>
    <col min="1" max="1" width="5.7109375" style="5" customWidth="1"/>
    <col min="2" max="5" width="1.7109375" style="5" customWidth="1"/>
    <col min="6" max="6" width="8.7109375" style="5" customWidth="1"/>
    <col min="7" max="7" width="44.140625" style="5" bestFit="1" customWidth="1"/>
    <col min="8" max="8" width="8.7109375" style="5" customWidth="1"/>
    <col min="9" max="9" width="30.28515625" style="5" customWidth="1"/>
    <col min="10" max="10" width="16.7109375" style="5" bestFit="1" customWidth="1"/>
    <col min="11" max="11" width="25.5703125" style="5" bestFit="1" customWidth="1"/>
    <col min="12" max="12" width="11" style="5" bestFit="1" customWidth="1"/>
    <col min="13" max="13" width="9.5703125" style="5" bestFit="1" customWidth="1"/>
    <col min="14" max="14" width="29" style="5" bestFit="1" customWidth="1"/>
    <col min="15" max="15" width="22.28515625" style="5" bestFit="1" customWidth="1"/>
    <col min="16" max="16" width="17.7109375" style="5" bestFit="1" customWidth="1"/>
    <col min="17" max="17" width="17" style="5" bestFit="1" customWidth="1"/>
    <col min="18" max="18" width="11" style="5" customWidth="1"/>
    <col min="19" max="22" width="1.7109375" style="5" customWidth="1"/>
    <col min="23" max="23" width="8.7109375" style="5" customWidth="1"/>
    <col min="29" max="16384" width="9" style="5"/>
  </cols>
  <sheetData>
    <row r="1" spans="2:22" ht="21.95" customHeight="1" x14ac:dyDescent="0.2"/>
    <row r="2" spans="2:22" ht="9.4" customHeight="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2:22" ht="9.4" customHeight="1" x14ac:dyDescent="0.2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1"/>
    </row>
    <row r="4" spans="2:22" ht="9.4" customHeight="1" x14ac:dyDescent="0.2">
      <c r="B4" s="1"/>
      <c r="C4" s="2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2"/>
      <c r="V4" s="1"/>
    </row>
    <row r="5" spans="2:22" ht="9.4" customHeight="1" x14ac:dyDescent="0.2">
      <c r="B5" s="1"/>
      <c r="C5" s="2"/>
      <c r="D5" s="3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3"/>
      <c r="U5" s="2"/>
      <c r="V5" s="1"/>
    </row>
    <row r="6" spans="2:22" ht="9.4" customHeight="1" x14ac:dyDescent="0.2">
      <c r="B6" s="1"/>
      <c r="C6" s="2"/>
      <c r="D6" s="3"/>
      <c r="E6" s="4"/>
      <c r="S6" s="4"/>
      <c r="T6" s="3"/>
      <c r="U6" s="2"/>
      <c r="V6" s="1"/>
    </row>
    <row r="7" spans="2:22" ht="26.25" x14ac:dyDescent="0.2">
      <c r="B7" s="1"/>
      <c r="C7" s="2"/>
      <c r="D7" s="3"/>
      <c r="E7" s="4"/>
      <c r="G7" s="57" t="s">
        <v>71</v>
      </c>
      <c r="H7" s="57"/>
      <c r="I7" s="57"/>
      <c r="J7" s="57"/>
      <c r="K7" s="57"/>
      <c r="L7" s="57"/>
      <c r="M7" s="57"/>
      <c r="N7" s="57"/>
      <c r="O7" s="57"/>
      <c r="P7" s="57"/>
      <c r="Q7" s="57"/>
      <c r="R7"/>
      <c r="S7" s="4"/>
      <c r="T7" s="3"/>
      <c r="U7" s="2"/>
      <c r="V7" s="1"/>
    </row>
    <row r="8" spans="2:22" ht="15.75" x14ac:dyDescent="0.2">
      <c r="B8" s="1"/>
      <c r="C8" s="2"/>
      <c r="D8" s="3"/>
      <c r="E8" s="4"/>
      <c r="G8" s="58" t="s">
        <v>73</v>
      </c>
      <c r="H8" s="58"/>
      <c r="I8" s="58"/>
      <c r="J8" s="58"/>
      <c r="K8" s="58"/>
      <c r="L8" s="58"/>
      <c r="M8" s="58"/>
      <c r="N8" s="58"/>
      <c r="O8" s="58"/>
      <c r="P8" s="58"/>
      <c r="Q8" s="58"/>
      <c r="S8" s="4"/>
      <c r="T8" s="3"/>
      <c r="U8" s="2"/>
      <c r="V8" s="1"/>
    </row>
    <row r="9" spans="2:22" ht="15.75" x14ac:dyDescent="0.2">
      <c r="B9" s="1"/>
      <c r="C9" s="2"/>
      <c r="D9" s="3"/>
      <c r="E9" s="4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S9" s="4"/>
      <c r="T9" s="3"/>
      <c r="U9" s="2"/>
      <c r="V9" s="1"/>
    </row>
    <row r="10" spans="2:22" ht="12.95" customHeight="1" x14ac:dyDescent="0.2">
      <c r="B10" s="1"/>
      <c r="C10" s="2"/>
      <c r="D10" s="3"/>
      <c r="E10" s="4"/>
      <c r="G10" s="40" t="s">
        <v>74</v>
      </c>
      <c r="H10" s="17"/>
      <c r="I10"/>
      <c r="J10"/>
      <c r="K10"/>
      <c r="L10"/>
      <c r="Q10" s="15"/>
      <c r="R10" s="15"/>
      <c r="S10" s="4"/>
      <c r="T10" s="3"/>
      <c r="U10" s="2"/>
      <c r="V10" s="1"/>
    </row>
    <row r="11" spans="2:22" ht="12.95" customHeight="1" x14ac:dyDescent="0.2">
      <c r="B11" s="1"/>
      <c r="C11" s="2"/>
      <c r="D11" s="3"/>
      <c r="E11" s="4"/>
      <c r="G11" s="23" t="s">
        <v>90</v>
      </c>
      <c r="H11" s="10"/>
      <c r="L11"/>
      <c r="Q11"/>
      <c r="R11" s="8"/>
      <c r="S11" s="4"/>
      <c r="T11" s="3"/>
      <c r="U11" s="2"/>
      <c r="V11" s="1"/>
    </row>
    <row r="12" spans="2:22" ht="21" x14ac:dyDescent="0.2">
      <c r="B12" s="1"/>
      <c r="C12" s="2"/>
      <c r="D12" s="3"/>
      <c r="E12" s="4"/>
      <c r="G12"/>
      <c r="H12"/>
      <c r="I12"/>
      <c r="J12"/>
      <c r="K12"/>
      <c r="L12"/>
      <c r="M12" s="55" t="s">
        <v>86</v>
      </c>
      <c r="N12" s="55"/>
      <c r="O12" s="55"/>
      <c r="P12" s="55"/>
      <c r="Q12"/>
      <c r="R12" s="7"/>
      <c r="S12" s="4"/>
      <c r="T12" s="3"/>
      <c r="U12" s="2"/>
      <c r="V12" s="1"/>
    </row>
    <row r="13" spans="2:22" ht="12.95" customHeight="1" x14ac:dyDescent="0.25">
      <c r="B13" s="1"/>
      <c r="C13" s="2"/>
      <c r="D13" s="3"/>
      <c r="E13" s="4"/>
      <c r="G13" s="49" t="s">
        <v>52</v>
      </c>
      <c r="H13" s="30"/>
      <c r="I13" s="61" t="s">
        <v>49</v>
      </c>
      <c r="J13" s="61"/>
      <c r="K13" s="44" t="s">
        <v>85</v>
      </c>
      <c r="L13" s="21"/>
      <c r="M13" s="43" t="s">
        <v>41</v>
      </c>
      <c r="N13" s="43" t="s">
        <v>52</v>
      </c>
      <c r="O13" s="43" t="s">
        <v>75</v>
      </c>
      <c r="P13" s="43" t="s">
        <v>76</v>
      </c>
      <c r="R13" s="7"/>
      <c r="S13" s="4"/>
      <c r="T13" s="3"/>
      <c r="U13" s="2"/>
      <c r="V13" s="1"/>
    </row>
    <row r="14" spans="2:22" ht="12.95" customHeight="1" x14ac:dyDescent="0.2">
      <c r="B14" s="1"/>
      <c r="C14" s="2"/>
      <c r="D14" s="3"/>
      <c r="E14" s="4"/>
      <c r="G14" s="46" t="s">
        <v>91</v>
      </c>
      <c r="H14" s="24"/>
      <c r="I14" s="62" t="s">
        <v>117</v>
      </c>
      <c r="J14" s="62"/>
      <c r="K14" s="27" t="str" cm="1">
        <f t="array" ref="K14:K23">CleanName(G14:G23,$G$11)</f>
        <v>Liverpool</v>
      </c>
      <c r="L14"/>
      <c r="M14" s="45">
        <v>1</v>
      </c>
      <c r="N14" s="46" t="s">
        <v>91</v>
      </c>
      <c r="O14" s="47" t="s">
        <v>90</v>
      </c>
      <c r="P14" s="48">
        <v>0</v>
      </c>
      <c r="R14" s="7"/>
      <c r="S14" s="4"/>
      <c r="T14" s="3"/>
      <c r="U14" s="2"/>
      <c r="V14" s="1"/>
    </row>
    <row r="15" spans="2:22" x14ac:dyDescent="0.2">
      <c r="B15" s="1"/>
      <c r="C15" s="2"/>
      <c r="D15" s="3"/>
      <c r="E15" s="4"/>
      <c r="G15" s="22" t="s">
        <v>92</v>
      </c>
      <c r="H15" s="24"/>
      <c r="I15" s="62"/>
      <c r="J15" s="62"/>
      <c r="K15" s="27" t="str">
        <v>Manchester City</v>
      </c>
      <c r="L15"/>
      <c r="M15" s="37">
        <v>2</v>
      </c>
      <c r="N15" s="46" t="s">
        <v>89</v>
      </c>
      <c r="O15" s="23" t="s">
        <v>102</v>
      </c>
      <c r="P15" s="25">
        <v>1</v>
      </c>
      <c r="R15" s="7"/>
      <c r="S15" s="4"/>
      <c r="T15" s="3"/>
      <c r="U15" s="2"/>
      <c r="V15" s="1"/>
    </row>
    <row r="16" spans="2:22" x14ac:dyDescent="0.2">
      <c r="B16" s="1"/>
      <c r="C16" s="2"/>
      <c r="D16" s="3"/>
      <c r="E16" s="4"/>
      <c r="G16" s="22" t="s">
        <v>93</v>
      </c>
      <c r="H16" s="24"/>
      <c r="I16" s="62"/>
      <c r="J16" s="62"/>
      <c r="K16" s="27" t="str">
        <v>Manchester United</v>
      </c>
      <c r="L16"/>
      <c r="M16" s="37">
        <v>3</v>
      </c>
      <c r="N16" s="46" t="s">
        <v>101</v>
      </c>
      <c r="O16" s="23" t="s">
        <v>103</v>
      </c>
      <c r="P16" s="25">
        <v>2</v>
      </c>
      <c r="R16" s="7"/>
      <c r="S16" s="4"/>
      <c r="T16" s="3"/>
      <c r="U16" s="2"/>
      <c r="V16" s="1"/>
    </row>
    <row r="17" spans="2:22" x14ac:dyDescent="0.2">
      <c r="B17" s="1"/>
      <c r="C17" s="2"/>
      <c r="D17" s="3"/>
      <c r="E17" s="4"/>
      <c r="G17" s="22" t="s">
        <v>94</v>
      </c>
      <c r="H17" s="24"/>
      <c r="I17" s="62"/>
      <c r="J17" s="62"/>
      <c r="K17" s="27" t="str">
        <v>Chelsea</v>
      </c>
      <c r="L17"/>
      <c r="M17" s="37">
        <v>4</v>
      </c>
      <c r="N17" s="46" t="s">
        <v>113</v>
      </c>
      <c r="O17" s="23" t="s">
        <v>104</v>
      </c>
      <c r="P17" s="25">
        <v>3</v>
      </c>
      <c r="R17" s="7"/>
      <c r="S17" s="4"/>
      <c r="T17" s="3"/>
      <c r="U17" s="2"/>
      <c r="V17" s="1"/>
    </row>
    <row r="18" spans="2:22" x14ac:dyDescent="0.2">
      <c r="B18" s="1"/>
      <c r="C18" s="2"/>
      <c r="D18" s="3"/>
      <c r="E18" s="4"/>
      <c r="G18" s="22" t="s">
        <v>95</v>
      </c>
      <c r="H18" s="24"/>
      <c r="I18" s="62"/>
      <c r="J18" s="62"/>
      <c r="K18" s="27" t="str">
        <v>Leicester City</v>
      </c>
      <c r="L18"/>
      <c r="M18" s="37">
        <v>5</v>
      </c>
      <c r="N18" s="46" t="s">
        <v>113</v>
      </c>
      <c r="O18" s="23" t="s">
        <v>105</v>
      </c>
      <c r="P18" s="25">
        <v>4</v>
      </c>
      <c r="R18" s="7"/>
      <c r="S18" s="4"/>
      <c r="T18" s="3"/>
      <c r="U18" s="2"/>
      <c r="V18" s="1"/>
    </row>
    <row r="19" spans="2:22" x14ac:dyDescent="0.2">
      <c r="B19" s="1"/>
      <c r="C19" s="2"/>
      <c r="D19" s="3"/>
      <c r="E19" s="4"/>
      <c r="G19" s="22" t="s">
        <v>96</v>
      </c>
      <c r="H19" s="24"/>
      <c r="I19" s="62"/>
      <c r="J19" s="62"/>
      <c r="K19" s="27" t="str">
        <v>Tottenham Hotspur</v>
      </c>
      <c r="M19" s="37">
        <v>6</v>
      </c>
      <c r="N19" s="46" t="s">
        <v>114</v>
      </c>
      <c r="O19" s="23" t="s">
        <v>106</v>
      </c>
      <c r="P19" s="25">
        <v>5</v>
      </c>
      <c r="R19" s="7"/>
      <c r="S19" s="4"/>
      <c r="T19" s="3"/>
      <c r="U19" s="2"/>
      <c r="V19" s="1"/>
    </row>
    <row r="20" spans="2:22" x14ac:dyDescent="0.2">
      <c r="B20" s="1"/>
      <c r="C20" s="2"/>
      <c r="D20" s="3"/>
      <c r="E20" s="4"/>
      <c r="G20" s="22" t="s">
        <v>97</v>
      </c>
      <c r="H20" s="24"/>
      <c r="I20" s="62"/>
      <c r="J20" s="62"/>
      <c r="K20" s="28" t="str">
        <v>Wolverhampton Wanderers</v>
      </c>
      <c r="M20" s="37">
        <v>7</v>
      </c>
      <c r="N20" s="46" t="s">
        <v>114</v>
      </c>
      <c r="O20" s="23" t="s">
        <v>107</v>
      </c>
      <c r="P20" s="25">
        <v>6</v>
      </c>
      <c r="R20" s="7"/>
      <c r="S20" s="4"/>
      <c r="T20" s="3"/>
      <c r="U20" s="2"/>
      <c r="V20" s="1"/>
    </row>
    <row r="21" spans="2:22" x14ac:dyDescent="0.2">
      <c r="B21" s="1"/>
      <c r="C21" s="2"/>
      <c r="D21" s="3"/>
      <c r="E21" s="4"/>
      <c r="G21" s="22" t="s">
        <v>98</v>
      </c>
      <c r="H21" s="24"/>
      <c r="I21" s="62"/>
      <c r="J21" s="62"/>
      <c r="K21" s="29" t="str">
        <v>Arsenal</v>
      </c>
      <c r="M21" s="37">
        <v>8</v>
      </c>
      <c r="N21" s="46" t="s">
        <v>114</v>
      </c>
      <c r="O21" s="23" t="s">
        <v>108</v>
      </c>
      <c r="P21" s="25">
        <v>7</v>
      </c>
      <c r="R21" s="7"/>
      <c r="S21" s="4"/>
      <c r="T21" s="3"/>
      <c r="U21" s="2"/>
      <c r="V21" s="1"/>
    </row>
    <row r="22" spans="2:22" x14ac:dyDescent="0.2">
      <c r="B22" s="1"/>
      <c r="C22" s="2"/>
      <c r="D22" s="3"/>
      <c r="E22" s="4"/>
      <c r="G22" s="22" t="s">
        <v>99</v>
      </c>
      <c r="H22" s="24"/>
      <c r="I22" s="62"/>
      <c r="J22" s="62"/>
      <c r="K22" s="29" t="str">
        <v>Sheffield United</v>
      </c>
      <c r="M22" s="37">
        <v>9</v>
      </c>
      <c r="N22" s="46" t="s">
        <v>115</v>
      </c>
      <c r="O22" s="23" t="s">
        <v>109</v>
      </c>
      <c r="P22" s="25">
        <v>8</v>
      </c>
      <c r="R22" s="7"/>
      <c r="S22" s="4"/>
      <c r="T22" s="3"/>
      <c r="U22" s="2"/>
      <c r="V22" s="1"/>
    </row>
    <row r="23" spans="2:22" x14ac:dyDescent="0.2">
      <c r="B23" s="1"/>
      <c r="C23" s="2"/>
      <c r="D23" s="3"/>
      <c r="E23" s="4"/>
      <c r="G23" s="22" t="s">
        <v>100</v>
      </c>
      <c r="H23" s="24"/>
      <c r="I23" s="62"/>
      <c r="J23" s="62"/>
      <c r="K23" s="29" t="str">
        <v>Burnley</v>
      </c>
      <c r="M23" s="37">
        <v>10</v>
      </c>
      <c r="N23" s="46" t="s">
        <v>116</v>
      </c>
      <c r="O23" s="22" t="s">
        <v>110</v>
      </c>
      <c r="P23" s="25">
        <v>9</v>
      </c>
      <c r="R23" s="7"/>
      <c r="S23" s="4"/>
      <c r="T23" s="3"/>
      <c r="U23" s="2"/>
      <c r="V23" s="1"/>
    </row>
    <row r="24" spans="2:22" x14ac:dyDescent="0.2">
      <c r="B24" s="1"/>
      <c r="C24" s="2"/>
      <c r="D24" s="3"/>
      <c r="E24" s="4"/>
      <c r="G24" s="24"/>
      <c r="H24" s="24"/>
      <c r="I24" s="62"/>
      <c r="J24" s="62"/>
      <c r="K24" s="26"/>
      <c r="M24" s="38">
        <v>11</v>
      </c>
      <c r="N24" s="46" t="s">
        <v>80</v>
      </c>
      <c r="O24" s="51" t="s">
        <v>111</v>
      </c>
      <c r="P24" s="54" t="s">
        <v>118</v>
      </c>
      <c r="R24" s="7"/>
      <c r="S24" s="4"/>
      <c r="T24" s="3"/>
      <c r="U24" s="2"/>
      <c r="V24" s="1"/>
    </row>
    <row r="25" spans="2:22" x14ac:dyDescent="0.2">
      <c r="B25" s="1"/>
      <c r="C25" s="2"/>
      <c r="D25" s="3"/>
      <c r="E25" s="4"/>
      <c r="G25" s="24"/>
      <c r="H25" s="24"/>
      <c r="I25" s="62"/>
      <c r="J25" s="62"/>
      <c r="K25" s="26"/>
      <c r="M25" s="38">
        <v>12</v>
      </c>
      <c r="N25" s="46" t="s">
        <v>80</v>
      </c>
      <c r="O25" s="53" t="s">
        <v>112</v>
      </c>
      <c r="P25" s="54" t="s">
        <v>112</v>
      </c>
      <c r="R25"/>
      <c r="S25" s="4"/>
      <c r="T25" s="3"/>
      <c r="U25" s="2"/>
      <c r="V25" s="1"/>
    </row>
    <row r="26" spans="2:22" x14ac:dyDescent="0.2">
      <c r="B26" s="1"/>
      <c r="C26" s="2"/>
      <c r="D26" s="3"/>
      <c r="E26" s="4"/>
      <c r="G26" s="24"/>
      <c r="H26" s="24"/>
      <c r="I26" s="34"/>
      <c r="J26" s="34"/>
      <c r="K26" s="26"/>
      <c r="M26" s="38">
        <v>13</v>
      </c>
      <c r="N26" s="46" t="s">
        <v>80</v>
      </c>
      <c r="O26" s="52"/>
      <c r="P26" s="39"/>
      <c r="R26"/>
      <c r="S26" s="4"/>
      <c r="T26" s="3"/>
      <c r="U26" s="2"/>
      <c r="V26" s="1"/>
    </row>
    <row r="27" spans="2:22" x14ac:dyDescent="0.2">
      <c r="B27" s="1"/>
      <c r="C27" s="2"/>
      <c r="D27" s="3"/>
      <c r="E27" s="4"/>
      <c r="G27" s="24"/>
      <c r="H27" s="24"/>
      <c r="I27" s="34"/>
      <c r="J27" s="34"/>
      <c r="K27" s="26"/>
      <c r="R27"/>
      <c r="S27" s="4"/>
      <c r="T27" s="3"/>
      <c r="U27" s="2"/>
      <c r="V27" s="1"/>
    </row>
    <row r="28" spans="2:22" x14ac:dyDescent="0.2">
      <c r="B28" s="1"/>
      <c r="C28" s="2"/>
      <c r="D28" s="3"/>
      <c r="E28" s="4"/>
      <c r="G28" s="24"/>
      <c r="H28" s="24"/>
      <c r="I28" s="34"/>
      <c r="J28" s="34"/>
      <c r="K28" s="26"/>
      <c r="R28"/>
      <c r="S28" s="4"/>
      <c r="T28" s="3"/>
      <c r="U28" s="2"/>
      <c r="V28" s="1"/>
    </row>
    <row r="29" spans="2:22" x14ac:dyDescent="0.2">
      <c r="B29" s="1"/>
      <c r="C29" s="2"/>
      <c r="D29" s="3"/>
      <c r="E29" s="4"/>
      <c r="G29" s="24"/>
      <c r="H29" s="24"/>
      <c r="I29" s="34"/>
      <c r="J29" s="34"/>
      <c r="K29" s="26"/>
      <c r="R29"/>
      <c r="S29" s="4"/>
      <c r="T29" s="3"/>
      <c r="U29" s="2"/>
      <c r="V29" s="1"/>
    </row>
    <row r="30" spans="2:22" ht="26.25" x14ac:dyDescent="0.2">
      <c r="B30" s="1"/>
      <c r="C30" s="2"/>
      <c r="D30" s="3"/>
      <c r="E30" s="4"/>
      <c r="G30" s="57" t="s">
        <v>72</v>
      </c>
      <c r="H30" s="57"/>
      <c r="I30" s="57"/>
      <c r="J30" s="57"/>
      <c r="K30" s="57"/>
      <c r="L30" s="57"/>
      <c r="M30" s="57"/>
      <c r="N30" s="57"/>
      <c r="O30" s="57"/>
      <c r="P30" s="57"/>
      <c r="Q30" s="57"/>
      <c r="R30"/>
      <c r="S30" s="4"/>
      <c r="T30" s="3"/>
      <c r="U30" s="2"/>
      <c r="V30" s="1"/>
    </row>
    <row r="31" spans="2:22" ht="15.75" x14ac:dyDescent="0.2">
      <c r="B31" s="1"/>
      <c r="C31" s="2"/>
      <c r="D31" s="3"/>
      <c r="E31" s="4"/>
      <c r="G31" s="58" t="s">
        <v>81</v>
      </c>
      <c r="H31" s="58"/>
      <c r="I31" s="58"/>
      <c r="J31" s="58"/>
      <c r="K31" s="58"/>
      <c r="L31" s="58"/>
      <c r="M31" s="58"/>
      <c r="N31" s="58"/>
      <c r="O31" s="58"/>
      <c r="P31" s="58"/>
      <c r="Q31" s="58"/>
      <c r="R31"/>
      <c r="S31" s="4"/>
      <c r="T31" s="3"/>
      <c r="U31" s="2"/>
      <c r="V31" s="1"/>
    </row>
    <row r="32" spans="2:22" x14ac:dyDescent="0.2">
      <c r="B32" s="1"/>
      <c r="C32" s="2"/>
      <c r="D32" s="3"/>
      <c r="E32" s="4"/>
      <c r="G32"/>
      <c r="H32"/>
      <c r="I32"/>
      <c r="J32"/>
      <c r="K32"/>
      <c r="L32"/>
      <c r="M32"/>
      <c r="Q32"/>
      <c r="R32"/>
      <c r="S32" s="4"/>
      <c r="T32" s="3"/>
      <c r="U32" s="2"/>
      <c r="V32" s="1"/>
    </row>
    <row r="33" spans="2:22" ht="15.75" x14ac:dyDescent="0.2">
      <c r="B33" s="1"/>
      <c r="C33" s="2"/>
      <c r="D33" s="3"/>
      <c r="E33" s="4"/>
      <c r="G33" s="40" t="s">
        <v>77</v>
      </c>
      <c r="H33" s="18"/>
      <c r="I33" s="18"/>
      <c r="J33" s="18"/>
      <c r="K33" s="18"/>
      <c r="L33" s="18"/>
      <c r="M33" s="18"/>
      <c r="N33" s="18"/>
      <c r="O33" s="18"/>
      <c r="P33" s="18"/>
      <c r="Q33" s="18"/>
      <c r="R33"/>
      <c r="S33" s="4"/>
      <c r="T33" s="3"/>
      <c r="U33" s="2"/>
      <c r="V33" s="1"/>
    </row>
    <row r="34" spans="2:22" x14ac:dyDescent="0.2">
      <c r="B34" s="1"/>
      <c r="C34" s="2"/>
      <c r="D34" s="3"/>
      <c r="E34" s="4"/>
      <c r="G34" s="23" t="s">
        <v>37</v>
      </c>
      <c r="H34" s="32"/>
      <c r="I34" s="32"/>
      <c r="J34" s="32"/>
      <c r="K34" s="32"/>
      <c r="L34" s="32"/>
      <c r="M34" s="32"/>
      <c r="N34" s="32"/>
      <c r="O34" s="32"/>
      <c r="P34" s="32"/>
      <c r="Q34" s="32"/>
      <c r="R34"/>
      <c r="S34" s="4"/>
      <c r="T34" s="3"/>
      <c r="U34" s="2"/>
      <c r="V34" s="1"/>
    </row>
    <row r="35" spans="2:22" x14ac:dyDescent="0.2">
      <c r="B35" s="1"/>
      <c r="C35" s="2"/>
      <c r="D35" s="3"/>
      <c r="E35" s="4"/>
      <c r="R35"/>
      <c r="S35" s="4"/>
      <c r="T35" s="3"/>
      <c r="U35" s="2"/>
      <c r="V35" s="1"/>
    </row>
    <row r="36" spans="2:22" ht="21" x14ac:dyDescent="0.2">
      <c r="B36" s="1"/>
      <c r="C36" s="2"/>
      <c r="D36" s="3"/>
      <c r="E36" s="4"/>
      <c r="G36" s="55" t="s">
        <v>119</v>
      </c>
      <c r="H36" s="55"/>
      <c r="I36" s="55"/>
      <c r="J36" s="55"/>
      <c r="K36" s="55"/>
      <c r="M36" s="55" t="s">
        <v>78</v>
      </c>
      <c r="N36" s="55"/>
      <c r="O36" s="55"/>
      <c r="P36" s="55"/>
      <c r="Q36" s="55"/>
      <c r="R36"/>
      <c r="S36" s="4"/>
      <c r="T36" s="3"/>
      <c r="U36" s="2"/>
      <c r="V36" s="1"/>
    </row>
    <row r="37" spans="2:22" ht="15.75" x14ac:dyDescent="0.2">
      <c r="B37" s="1"/>
      <c r="C37" s="2"/>
      <c r="D37" s="3"/>
      <c r="E37" s="4"/>
      <c r="G37" s="61" t="s">
        <v>49</v>
      </c>
      <c r="H37" s="61"/>
      <c r="I37" s="61"/>
      <c r="J37" s="61"/>
      <c r="K37" s="43" t="s">
        <v>79</v>
      </c>
      <c r="M37" s="61" t="s">
        <v>49</v>
      </c>
      <c r="N37" s="61"/>
      <c r="O37" s="61"/>
      <c r="P37" s="61"/>
      <c r="Q37" s="43" t="s">
        <v>79</v>
      </c>
      <c r="R37"/>
      <c r="S37" s="4"/>
      <c r="T37" s="3"/>
      <c r="U37" s="2"/>
      <c r="V37" s="1"/>
    </row>
    <row r="38" spans="2:22" ht="12.95" customHeight="1" x14ac:dyDescent="0.2">
      <c r="B38" s="1"/>
      <c r="C38" s="2"/>
      <c r="D38" s="3"/>
      <c r="E38" s="4"/>
      <c r="G38" s="70" t="s">
        <v>120</v>
      </c>
      <c r="H38" s="70"/>
      <c r="I38" s="70"/>
      <c r="J38" s="71"/>
      <c r="K38" s="66" cm="1">
        <f t="array" ref="K38">AddNumbersStandard(G34)</f>
        <v>45</v>
      </c>
      <c r="M38" s="63" t="s">
        <v>121</v>
      </c>
      <c r="N38" s="63"/>
      <c r="O38" s="63"/>
      <c r="P38" s="63"/>
      <c r="Q38" s="69" cm="1">
        <f t="array" ref="Q38">AddNumbersRecursive(G34,0,1)</f>
        <v>45</v>
      </c>
      <c r="R38"/>
      <c r="S38" s="4"/>
      <c r="T38" s="3"/>
      <c r="U38" s="2"/>
      <c r="V38" s="1"/>
    </row>
    <row r="39" spans="2:22" x14ac:dyDescent="0.2">
      <c r="B39" s="1"/>
      <c r="C39" s="2"/>
      <c r="D39" s="3"/>
      <c r="E39" s="4"/>
      <c r="G39" s="72"/>
      <c r="H39" s="72"/>
      <c r="I39" s="72"/>
      <c r="J39" s="73"/>
      <c r="K39" s="67"/>
      <c r="M39" s="64"/>
      <c r="N39" s="64"/>
      <c r="O39" s="64"/>
      <c r="P39" s="64"/>
      <c r="Q39" s="67"/>
      <c r="R39"/>
      <c r="S39" s="4"/>
      <c r="T39" s="3"/>
      <c r="U39" s="2"/>
      <c r="V39" s="1"/>
    </row>
    <row r="40" spans="2:22" x14ac:dyDescent="0.2">
      <c r="B40" s="1"/>
      <c r="C40" s="2"/>
      <c r="D40" s="3"/>
      <c r="E40" s="4"/>
      <c r="G40" s="72"/>
      <c r="H40" s="72"/>
      <c r="I40" s="72"/>
      <c r="J40" s="73"/>
      <c r="K40" s="67"/>
      <c r="M40" s="64"/>
      <c r="N40" s="64"/>
      <c r="O40" s="64"/>
      <c r="P40" s="64"/>
      <c r="Q40" s="67"/>
      <c r="R40"/>
      <c r="S40" s="4"/>
      <c r="T40" s="3"/>
      <c r="U40" s="2"/>
      <c r="V40" s="1"/>
    </row>
    <row r="41" spans="2:22" x14ac:dyDescent="0.2">
      <c r="B41" s="1"/>
      <c r="C41" s="2"/>
      <c r="D41" s="3"/>
      <c r="E41" s="4"/>
      <c r="G41" s="72"/>
      <c r="H41" s="72"/>
      <c r="I41" s="72"/>
      <c r="J41" s="73"/>
      <c r="K41" s="67"/>
      <c r="M41" s="64"/>
      <c r="N41" s="64"/>
      <c r="O41" s="64"/>
      <c r="P41" s="64"/>
      <c r="Q41" s="67"/>
      <c r="R41"/>
      <c r="S41" s="4"/>
      <c r="T41" s="3"/>
      <c r="U41" s="2"/>
      <c r="V41" s="1"/>
    </row>
    <row r="42" spans="2:22" x14ac:dyDescent="0.2">
      <c r="B42" s="1"/>
      <c r="C42" s="2"/>
      <c r="D42" s="3"/>
      <c r="E42" s="4"/>
      <c r="G42" s="72"/>
      <c r="H42" s="72"/>
      <c r="I42" s="72"/>
      <c r="J42" s="73"/>
      <c r="K42" s="68"/>
      <c r="M42" s="64"/>
      <c r="N42" s="64"/>
      <c r="O42" s="64"/>
      <c r="P42" s="64"/>
      <c r="Q42" s="67"/>
      <c r="R42"/>
      <c r="S42" s="4"/>
      <c r="T42" s="3"/>
      <c r="U42" s="2"/>
      <c r="V42" s="1"/>
    </row>
    <row r="43" spans="2:22" x14ac:dyDescent="0.2">
      <c r="B43" s="1"/>
      <c r="C43" s="2"/>
      <c r="D43" s="3"/>
      <c r="E43" s="4"/>
      <c r="G43" s="19"/>
      <c r="H43" s="19"/>
      <c r="I43" s="19"/>
      <c r="J43" s="19"/>
      <c r="K43"/>
      <c r="M43" s="64"/>
      <c r="N43" s="64"/>
      <c r="O43" s="64"/>
      <c r="P43" s="64"/>
      <c r="Q43" s="67"/>
      <c r="R43"/>
      <c r="S43" s="4"/>
      <c r="T43" s="3"/>
      <c r="U43" s="2"/>
      <c r="V43" s="1"/>
    </row>
    <row r="44" spans="2:22" x14ac:dyDescent="0.2">
      <c r="B44" s="1"/>
      <c r="C44" s="2"/>
      <c r="D44" s="3"/>
      <c r="E44" s="4"/>
      <c r="G44" s="16"/>
      <c r="H44" s="16"/>
      <c r="I44" s="16"/>
      <c r="J44" s="16"/>
      <c r="K44" s="16"/>
      <c r="L44"/>
      <c r="M44" s="64"/>
      <c r="N44" s="64"/>
      <c r="O44" s="64"/>
      <c r="P44" s="64"/>
      <c r="Q44" s="67"/>
      <c r="R44"/>
      <c r="S44" s="4"/>
      <c r="T44" s="3"/>
      <c r="U44" s="2"/>
      <c r="V44" s="1"/>
    </row>
    <row r="45" spans="2:22" x14ac:dyDescent="0.2">
      <c r="B45" s="1"/>
      <c r="C45" s="2"/>
      <c r="D45" s="3"/>
      <c r="E45" s="4"/>
      <c r="G45" s="16"/>
      <c r="H45" s="16"/>
      <c r="I45" s="16"/>
      <c r="J45" s="16"/>
      <c r="K45" s="16"/>
      <c r="L45"/>
      <c r="M45" s="65"/>
      <c r="N45" s="65"/>
      <c r="O45" s="65"/>
      <c r="P45" s="65"/>
      <c r="Q45" s="68"/>
      <c r="R45"/>
      <c r="S45" s="4"/>
      <c r="T45" s="3"/>
      <c r="U45" s="2"/>
      <c r="V45" s="1"/>
    </row>
    <row r="46" spans="2:22" x14ac:dyDescent="0.2">
      <c r="B46" s="1"/>
      <c r="C46" s="2"/>
      <c r="D46" s="3"/>
      <c r="E46" s="4"/>
      <c r="G46" s="16"/>
      <c r="H46" s="16"/>
      <c r="I46" s="16"/>
      <c r="J46" s="16"/>
      <c r="K46" s="16"/>
      <c r="L46"/>
      <c r="M46" s="20"/>
      <c r="N46" s="20"/>
      <c r="O46" s="20"/>
      <c r="P46" s="20"/>
      <c r="R46"/>
      <c r="S46" s="4"/>
      <c r="T46" s="3"/>
      <c r="U46" s="2"/>
      <c r="V46" s="1"/>
    </row>
    <row r="47" spans="2:22" ht="9.4" customHeight="1" x14ac:dyDescent="0.2">
      <c r="B47" s="1"/>
      <c r="C47" s="2"/>
      <c r="D47" s="3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3"/>
      <c r="U47" s="2"/>
      <c r="V47" s="1"/>
    </row>
    <row r="48" spans="2:22" ht="9.4" customHeight="1" x14ac:dyDescent="0.2">
      <c r="B48" s="1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2"/>
      <c r="V48" s="1"/>
    </row>
    <row r="49" spans="2:23" ht="9.4" customHeight="1" x14ac:dyDescent="0.2">
      <c r="B49" s="1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1"/>
    </row>
    <row r="50" spans="2:23" ht="9.4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2:23" x14ac:dyDescent="0.2">
      <c r="B51"/>
      <c r="C51"/>
      <c r="D51"/>
      <c r="E51"/>
      <c r="F51"/>
      <c r="G51"/>
      <c r="H51"/>
      <c r="I51"/>
      <c r="J51"/>
      <c r="K51"/>
      <c r="L51"/>
      <c r="M51"/>
      <c r="Q51"/>
      <c r="R51"/>
      <c r="S51"/>
      <c r="T51"/>
      <c r="U51"/>
      <c r="V51"/>
      <c r="W51"/>
    </row>
    <row r="52" spans="2:23" x14ac:dyDescent="0.2">
      <c r="B52"/>
      <c r="C52"/>
      <c r="D52"/>
      <c r="E52"/>
      <c r="F52"/>
      <c r="G52"/>
      <c r="H52"/>
      <c r="I52"/>
      <c r="J52"/>
      <c r="K52"/>
      <c r="L52"/>
      <c r="M52"/>
      <c r="Q52"/>
      <c r="R52"/>
      <c r="S52"/>
      <c r="T52"/>
      <c r="U52"/>
      <c r="V52"/>
      <c r="W52"/>
    </row>
    <row r="53" spans="2:23" x14ac:dyDescent="0.2">
      <c r="B53"/>
      <c r="C53"/>
      <c r="D53"/>
      <c r="E53"/>
      <c r="F53"/>
      <c r="G53"/>
      <c r="H53"/>
      <c r="I53"/>
      <c r="J53"/>
      <c r="K53"/>
      <c r="L53"/>
      <c r="R53"/>
      <c r="S53"/>
      <c r="T53"/>
      <c r="U53"/>
      <c r="V53"/>
      <c r="W53"/>
    </row>
    <row r="54" spans="2:23" x14ac:dyDescent="0.2">
      <c r="B54"/>
      <c r="C54"/>
      <c r="D54"/>
      <c r="E54"/>
      <c r="F54"/>
      <c r="G54"/>
      <c r="H54"/>
      <c r="I54"/>
      <c r="R54"/>
      <c r="S54"/>
      <c r="T54"/>
      <c r="U54"/>
      <c r="V54"/>
      <c r="W54"/>
    </row>
    <row r="55" spans="2:23" x14ac:dyDescent="0.2">
      <c r="B55"/>
      <c r="C55"/>
      <c r="D55"/>
      <c r="E55"/>
      <c r="F55"/>
      <c r="G55"/>
      <c r="H55"/>
      <c r="I55"/>
      <c r="R55"/>
      <c r="S55"/>
      <c r="T55"/>
      <c r="U55"/>
      <c r="V55"/>
      <c r="W55"/>
    </row>
    <row r="56" spans="2:23" x14ac:dyDescent="0.2">
      <c r="B56"/>
      <c r="C56"/>
      <c r="D56"/>
      <c r="E56"/>
      <c r="F56"/>
      <c r="G56"/>
      <c r="H56"/>
      <c r="I56"/>
      <c r="R56"/>
      <c r="S56"/>
      <c r="T56"/>
      <c r="U56"/>
      <c r="V56"/>
      <c r="W56"/>
    </row>
    <row r="57" spans="2:23" ht="9.4" customHeight="1" x14ac:dyDescent="0.2">
      <c r="B57"/>
      <c r="C57"/>
      <c r="D57"/>
      <c r="E57"/>
      <c r="F57"/>
      <c r="G57"/>
      <c r="H57"/>
      <c r="I57"/>
      <c r="R57"/>
      <c r="S57"/>
      <c r="T57"/>
      <c r="U57"/>
      <c r="V57"/>
      <c r="W57"/>
    </row>
    <row r="58" spans="2:23" ht="9.4" customHeight="1" x14ac:dyDescent="0.2">
      <c r="B58"/>
      <c r="C58"/>
      <c r="D58"/>
      <c r="E58"/>
      <c r="F58"/>
      <c r="G58"/>
      <c r="H58"/>
      <c r="I58"/>
      <c r="R58"/>
      <c r="S58"/>
      <c r="T58"/>
      <c r="U58"/>
      <c r="V58"/>
      <c r="W58"/>
    </row>
    <row r="59" spans="2:23" ht="9.4" customHeight="1" x14ac:dyDescent="0.2">
      <c r="B59"/>
      <c r="C59"/>
      <c r="D59"/>
      <c r="E59"/>
      <c r="F59"/>
      <c r="G59"/>
      <c r="H59"/>
      <c r="I59"/>
      <c r="R59"/>
      <c r="S59"/>
      <c r="T59"/>
      <c r="U59"/>
      <c r="V59"/>
      <c r="W59"/>
    </row>
    <row r="60" spans="2:23" ht="9.4" customHeight="1" x14ac:dyDescent="0.2">
      <c r="B60"/>
      <c r="C60"/>
      <c r="D60"/>
      <c r="E60"/>
      <c r="F60"/>
      <c r="G60"/>
      <c r="H60"/>
      <c r="I60"/>
      <c r="R60"/>
      <c r="S60"/>
      <c r="T60"/>
      <c r="U60"/>
      <c r="V60"/>
      <c r="W60"/>
    </row>
    <row r="61" spans="2:23" x14ac:dyDescent="0.2">
      <c r="B61"/>
      <c r="C61"/>
      <c r="D61"/>
      <c r="E61"/>
      <c r="F61"/>
      <c r="G61"/>
      <c r="H61"/>
      <c r="I61"/>
      <c r="R61"/>
      <c r="S61"/>
      <c r="T61"/>
      <c r="U61"/>
      <c r="V61"/>
      <c r="W61"/>
    </row>
    <row r="62" spans="2:23" x14ac:dyDescent="0.2">
      <c r="B62"/>
      <c r="C62"/>
      <c r="D62"/>
      <c r="E62"/>
      <c r="F62"/>
      <c r="G62"/>
      <c r="H62"/>
      <c r="I62"/>
      <c r="L62"/>
      <c r="M62"/>
      <c r="Q62"/>
      <c r="R62"/>
      <c r="S62"/>
      <c r="T62"/>
      <c r="U62"/>
      <c r="V62"/>
      <c r="W62"/>
    </row>
    <row r="63" spans="2:23" x14ac:dyDescent="0.2">
      <c r="B63"/>
      <c r="C63"/>
      <c r="D63"/>
      <c r="E63"/>
      <c r="F63"/>
      <c r="G63"/>
      <c r="H63"/>
      <c r="I63"/>
      <c r="L63"/>
      <c r="M63"/>
      <c r="Q63"/>
      <c r="R63"/>
      <c r="S63"/>
      <c r="T63"/>
      <c r="U63"/>
      <c r="V63"/>
      <c r="W63"/>
    </row>
    <row r="64" spans="2:23" x14ac:dyDescent="0.2">
      <c r="B64"/>
      <c r="C64"/>
      <c r="D64"/>
      <c r="E64"/>
      <c r="F64"/>
      <c r="G64"/>
      <c r="H64"/>
      <c r="I64"/>
      <c r="L64"/>
      <c r="M64"/>
      <c r="Q64"/>
      <c r="R64"/>
      <c r="S64"/>
      <c r="T64"/>
      <c r="U64"/>
      <c r="V64"/>
      <c r="W64"/>
    </row>
    <row r="65" spans="2:23" x14ac:dyDescent="0.2">
      <c r="B65"/>
      <c r="C65"/>
      <c r="D65"/>
      <c r="E65"/>
      <c r="F65"/>
      <c r="G65"/>
      <c r="H65"/>
      <c r="I65"/>
      <c r="L65"/>
      <c r="M65"/>
      <c r="Q65"/>
      <c r="R65"/>
      <c r="S65"/>
      <c r="T65"/>
      <c r="U65"/>
      <c r="V65"/>
      <c r="W65"/>
    </row>
    <row r="66" spans="2:23" x14ac:dyDescent="0.2">
      <c r="B66"/>
      <c r="C66"/>
      <c r="D66"/>
      <c r="E66"/>
      <c r="F66"/>
      <c r="G66"/>
      <c r="H66"/>
      <c r="I66"/>
      <c r="L66"/>
      <c r="M66"/>
      <c r="Q66"/>
      <c r="R66"/>
      <c r="S66"/>
      <c r="T66"/>
      <c r="U66"/>
      <c r="V66"/>
      <c r="W66"/>
    </row>
    <row r="67" spans="2:23" x14ac:dyDescent="0.2">
      <c r="B67"/>
      <c r="C67"/>
      <c r="D67"/>
      <c r="E67"/>
      <c r="F67"/>
      <c r="G67"/>
      <c r="H67"/>
      <c r="I67"/>
      <c r="L67"/>
      <c r="M67"/>
      <c r="Q67"/>
      <c r="R67"/>
      <c r="S67"/>
      <c r="T67"/>
      <c r="U67"/>
      <c r="V67"/>
      <c r="W67"/>
    </row>
    <row r="68" spans="2:23" x14ac:dyDescent="0.2">
      <c r="B68"/>
      <c r="C68"/>
      <c r="D68"/>
      <c r="E68"/>
      <c r="F68"/>
      <c r="G68"/>
      <c r="H68"/>
      <c r="I68"/>
      <c r="L68"/>
      <c r="M68"/>
      <c r="Q68"/>
      <c r="R68"/>
      <c r="S68"/>
      <c r="T68"/>
      <c r="U68"/>
      <c r="V68"/>
      <c r="W68"/>
    </row>
    <row r="69" spans="2:23" x14ac:dyDescent="0.2">
      <c r="B69"/>
      <c r="C69"/>
      <c r="D69"/>
      <c r="E69"/>
      <c r="F69"/>
      <c r="G69"/>
      <c r="H69"/>
      <c r="I69"/>
      <c r="L69"/>
      <c r="M69"/>
      <c r="Q69"/>
      <c r="R69"/>
      <c r="S69"/>
      <c r="T69"/>
      <c r="U69"/>
      <c r="V69"/>
      <c r="W69"/>
    </row>
    <row r="70" spans="2:23" x14ac:dyDescent="0.2">
      <c r="B70"/>
      <c r="C70"/>
      <c r="D70"/>
      <c r="E70"/>
      <c r="F70"/>
      <c r="G70"/>
      <c r="H70"/>
      <c r="I70"/>
      <c r="J70"/>
      <c r="K70"/>
      <c r="L70"/>
      <c r="M70"/>
      <c r="Q70"/>
      <c r="R70"/>
      <c r="S70"/>
      <c r="T70"/>
      <c r="U70"/>
      <c r="V70"/>
      <c r="W70"/>
    </row>
    <row r="71" spans="2:23" x14ac:dyDescent="0.2">
      <c r="B71"/>
      <c r="C71"/>
      <c r="D71"/>
      <c r="E71"/>
      <c r="F71"/>
      <c r="G71"/>
      <c r="H71"/>
      <c r="I71"/>
      <c r="J71"/>
      <c r="K71"/>
      <c r="L71"/>
      <c r="M71"/>
      <c r="Q71"/>
      <c r="R71"/>
      <c r="S71"/>
      <c r="T71"/>
      <c r="U71"/>
      <c r="V71"/>
      <c r="W71"/>
    </row>
    <row r="72" spans="2:23" x14ac:dyDescent="0.2">
      <c r="B72"/>
      <c r="C72"/>
      <c r="D72"/>
      <c r="E72"/>
      <c r="F72"/>
      <c r="G72"/>
      <c r="H72"/>
      <c r="I72"/>
      <c r="J72"/>
      <c r="K72"/>
      <c r="L72"/>
      <c r="M72"/>
      <c r="Q72"/>
      <c r="R72"/>
      <c r="S72"/>
      <c r="T72"/>
      <c r="U72"/>
      <c r="V72"/>
      <c r="W72"/>
    </row>
    <row r="73" spans="2:23" x14ac:dyDescent="0.2">
      <c r="B73"/>
      <c r="C73"/>
      <c r="D73"/>
      <c r="E73"/>
      <c r="F73"/>
      <c r="G73"/>
      <c r="H73"/>
      <c r="I73"/>
      <c r="J73"/>
      <c r="K73"/>
      <c r="L73"/>
      <c r="M73"/>
      <c r="Q73"/>
      <c r="R73"/>
      <c r="S73"/>
      <c r="T73"/>
      <c r="U73"/>
      <c r="V73"/>
      <c r="W73"/>
    </row>
    <row r="74" spans="2:23" x14ac:dyDescent="0.2">
      <c r="B74"/>
      <c r="C74"/>
      <c r="D74"/>
      <c r="E74"/>
      <c r="F74"/>
      <c r="G74"/>
      <c r="H74"/>
      <c r="I74"/>
      <c r="J74"/>
      <c r="K74"/>
      <c r="L74"/>
      <c r="M74"/>
      <c r="Q74"/>
      <c r="R74"/>
      <c r="S74"/>
      <c r="T74"/>
      <c r="U74"/>
      <c r="V74"/>
      <c r="W74"/>
    </row>
    <row r="75" spans="2:23" x14ac:dyDescent="0.2">
      <c r="B75"/>
      <c r="C75"/>
      <c r="D75"/>
      <c r="E75"/>
      <c r="F75"/>
      <c r="G75"/>
      <c r="H75"/>
      <c r="I75"/>
      <c r="J75"/>
      <c r="K75"/>
      <c r="L75"/>
      <c r="M75"/>
      <c r="Q75"/>
      <c r="R75"/>
      <c r="S75"/>
      <c r="T75"/>
      <c r="U75"/>
      <c r="V75"/>
      <c r="W75"/>
    </row>
    <row r="76" spans="2:23" x14ac:dyDescent="0.2">
      <c r="B76"/>
      <c r="C76"/>
      <c r="D76"/>
      <c r="E76"/>
      <c r="F76"/>
      <c r="G76"/>
      <c r="H76"/>
      <c r="I76"/>
      <c r="J76"/>
      <c r="K76"/>
      <c r="L76"/>
      <c r="M76"/>
      <c r="Q76"/>
      <c r="R76"/>
      <c r="S76"/>
      <c r="T76"/>
      <c r="U76"/>
      <c r="V76"/>
      <c r="W76"/>
    </row>
    <row r="77" spans="2:23" x14ac:dyDescent="0.2">
      <c r="B77"/>
      <c r="C77"/>
      <c r="D77"/>
      <c r="E77"/>
      <c r="F77"/>
      <c r="G77"/>
      <c r="H77"/>
      <c r="I77"/>
      <c r="J77"/>
      <c r="K77"/>
      <c r="L77"/>
      <c r="M77"/>
      <c r="Q77"/>
      <c r="R77"/>
      <c r="S77"/>
      <c r="T77"/>
      <c r="U77"/>
      <c r="V77"/>
      <c r="W77"/>
    </row>
    <row r="78" spans="2:23" x14ac:dyDescent="0.2">
      <c r="B78"/>
      <c r="C78"/>
      <c r="D78"/>
      <c r="E78"/>
      <c r="F78"/>
      <c r="G78"/>
      <c r="H78"/>
      <c r="I78"/>
      <c r="J78"/>
      <c r="K78"/>
      <c r="L78"/>
      <c r="M78"/>
      <c r="Q78"/>
      <c r="R78"/>
      <c r="S78"/>
      <c r="T78"/>
      <c r="U78"/>
      <c r="V78"/>
      <c r="W78"/>
    </row>
    <row r="79" spans="2:23" x14ac:dyDescent="0.2">
      <c r="B79"/>
      <c r="C79"/>
      <c r="D79"/>
      <c r="E79"/>
      <c r="F79"/>
      <c r="G79"/>
      <c r="H79"/>
      <c r="I79"/>
      <c r="J79"/>
      <c r="K79"/>
      <c r="L79"/>
      <c r="M79"/>
      <c r="Q79"/>
      <c r="R79"/>
      <c r="S79"/>
      <c r="T79"/>
      <c r="U79"/>
      <c r="V79"/>
      <c r="W79"/>
    </row>
    <row r="80" spans="2:23" x14ac:dyDescent="0.2">
      <c r="B80"/>
      <c r="C80"/>
      <c r="D80"/>
      <c r="E80"/>
      <c r="F80"/>
      <c r="G80"/>
      <c r="H80"/>
      <c r="I80"/>
      <c r="J80"/>
      <c r="K80"/>
      <c r="L80"/>
      <c r="M80"/>
      <c r="Q80"/>
      <c r="R80"/>
      <c r="S80"/>
      <c r="T80"/>
      <c r="U80"/>
      <c r="V80"/>
      <c r="W80"/>
    </row>
    <row r="81" spans="2:23" x14ac:dyDescent="0.2">
      <c r="B81"/>
      <c r="C81"/>
      <c r="D81"/>
      <c r="E81"/>
      <c r="F81"/>
      <c r="G81"/>
      <c r="H81"/>
      <c r="I81"/>
      <c r="J81"/>
      <c r="K81"/>
      <c r="L81"/>
      <c r="M81"/>
      <c r="Q81"/>
      <c r="R81"/>
      <c r="S81"/>
      <c r="T81"/>
      <c r="U81"/>
      <c r="V81"/>
      <c r="W81"/>
    </row>
  </sheetData>
  <mergeCells count="15">
    <mergeCell ref="M38:P45"/>
    <mergeCell ref="G8:Q8"/>
    <mergeCell ref="G31:Q31"/>
    <mergeCell ref="K38:K42"/>
    <mergeCell ref="Q38:Q45"/>
    <mergeCell ref="G38:J42"/>
    <mergeCell ref="G7:Q7"/>
    <mergeCell ref="M37:P37"/>
    <mergeCell ref="G30:Q30"/>
    <mergeCell ref="M12:P12"/>
    <mergeCell ref="I14:J25"/>
    <mergeCell ref="I13:J13"/>
    <mergeCell ref="M36:Q36"/>
    <mergeCell ref="G37:J37"/>
    <mergeCell ref="G36:K36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LinkedIn-Logo" Type="http://schemas.openxmlformats.org/officeDocument/2006/relationships/image" Target="images/LinkedIn-Logo.png"/><Relationship Id="PayPal-Logo" Type="http://schemas.openxmlformats.org/officeDocument/2006/relationships/image" Target="images/PayPal-Logo.png"/><Relationship Id="Reddit-Logo" Type="http://schemas.openxmlformats.org/officeDocument/2006/relationships/image" Target="images/Reddit-Logo.png"/><Relationship Id="Coffee-Logo" Type="http://schemas.openxmlformats.org/officeDocument/2006/relationships/image" Target="images/Coffee-Logo.png"/><Relationship Id="Medium-Logo" Type="http://schemas.openxmlformats.org/officeDocument/2006/relationships/image" Target="images/Medium-Logo.png"/></Relationships>
</file>

<file path=customUI/customUI14.xml><?xml version="1.0" encoding="utf-8"?>
<customUI xmlns="http://schemas.microsoft.com/office/2009/07/customui">
  <ribbon startFromScratch="false">
    <!--Hide all default tabs-->
    <tabs>
      <tab id="tab1" label="Andrew Moss" insertBeforeMso="TabHome">
        <!--Buttons 2 (Custom Icons)-->
        <group id="grp_btns2" label="Andrew Moss">
          <!--Large Buttons 2 (Custom Icons)-->
          <button id="btns_btn1" label="Medium" size="large" onAction="btns_onAction" image="Medium-Logo"/>
          <button id="btns_btn2" label="LinkedIn" size="large" onAction="btns_onAction" image="LinkedIn-Logo"/>
          <button id="btns_btn3" label="Reddit" size="large" onAction="btns_onAction" image="Reddit-Logo"/>
          <separator id="sep1"/>
          <labelControl id="lblCtrl_dummy1"/>
          <button id="btns_btn4" label="Buy me a coffee!" size="normal" onAction="btns_onAction" image="Coffee-Log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 1</vt:lpstr>
      <vt:lpstr>Part 2</vt:lpstr>
      <vt:lpstr>Part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Moss</dc:creator>
  <cp:lastModifiedBy>Andrew Moss</cp:lastModifiedBy>
  <dcterms:created xsi:type="dcterms:W3CDTF">2021-01-24T11:36:13Z</dcterms:created>
  <dcterms:modified xsi:type="dcterms:W3CDTF">2021-02-23T13:06:58Z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47f49dd5-5683-4482-9333-126892e1ef24</vt:lpwstr>
  </property>
</Properties>
</file>