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LinkedIn-Logo.png" ContentType="image/.PNG"/>
  <Override PartName="/customUI/images/PayPal-Logo.png" ContentType="image/.PNG"/>
  <Override PartName="/customUI/images/Twitter-Logo.png" ContentType="image/.PNG"/>
  <Override PartName="/customUI/images/Reddit-Logo.png" ContentType="image/.PNG"/>
  <Override PartName="/customUI/images/Coffee-Logo.png" ContentType="image/.PNG"/>
  <Override PartName="/customUI/images/Medium-Logo.png" ContentType="image/.PNG"/>
</Types>
</file>

<file path=_rels/.rels><?xml version="1.0" encoding="UTF-8" standalone="yes"?>
<Relationships xmlns="http://schemas.openxmlformats.org/package/2006/relationships"><Relationship Id="Re292adf9923a44f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\ACM\Medium\14 - How Excel Stores and Displays Data\"/>
    </mc:Choice>
  </mc:AlternateContent>
  <xr:revisionPtr revIDLastSave="0" documentId="13_ncr:1_{A477A375-A9B0-4FED-8E3D-F4EDAE9B5EA3}" xr6:coauthVersionLast="47" xr6:coauthVersionMax="47" xr10:uidLastSave="{00000000-0000-0000-0000-000000000000}"/>
  <bookViews>
    <workbookView xWindow="-38813" yWindow="5603" windowWidth="25486" windowHeight="18277" tabRatio="360" xr2:uid="{223A41E5-A60C-438E-A18C-ADB7B939E688}"/>
  </bookViews>
  <sheets>
    <sheet name="Part 1" sheetId="2" r:id="rId1"/>
    <sheet name="Part 2" sheetId="3" r:id="rId2"/>
    <sheet name="Part 2 Extras" sheetId="6" r:id="rId3"/>
    <sheet name="Part 3" sheetId="4" r:id="rId4"/>
  </sheets>
  <externalReferences>
    <externalReference r:id="rId5"/>
  </externalReferences>
  <definedNames>
    <definedName name="_xlnm._FilterDatabase" localSheetId="1" hidden="1">'Part 2'!#REF!</definedName>
    <definedName name="_xlnm._FilterDatabase" localSheetId="2" hidden="1">'Part 2 Extras'!$P$275:$AH$499</definedName>
    <definedName name="_xlpm.AddedNumbers" hidden="1" xlm="1">#NAME?</definedName>
    <definedName name="_xlpm.AddNumbersRecursive" hidden="1" xlm="1">#NAME?</definedName>
    <definedName name="_xlpm.array" hidden="1" xlm="1">#NAME?</definedName>
    <definedName name="_xlpm.character" hidden="1" xlm="1">#NAME?</definedName>
    <definedName name="_xlpm.charcode" hidden="1" xlm="1">#NAME?</definedName>
    <definedName name="_xlpm.ClubName" hidden="1" xlm="1">#NAME?</definedName>
    <definedName name="_xlpm.ExcludeCharacters" hidden="1" xlm="1">#NAME?</definedName>
    <definedName name="_xlpm.FirstName" hidden="1" xlm="1">#NAME?</definedName>
    <definedName name="_xlpm.Input" hidden="1" xlm="1">#NAME?</definedName>
    <definedName name="_xlpm.LastName" hidden="1" xlm="1">#NAME?</definedName>
    <definedName name="_xlpm.ndx" hidden="1" xlm="1">#NAME?</definedName>
    <definedName name="_xlpm.Number" hidden="1" xlm="1">#NAME?</definedName>
    <definedName name="_xlpm.NumberGroup" hidden="1" xlm="1">#NAME?</definedName>
    <definedName name="_xlpm.Numbers" hidden="1" xlm="1">#NAME?</definedName>
    <definedName name="_xlpm.Player" hidden="1" xlm="1">#NAME?</definedName>
    <definedName name="_xlpm.reference" hidden="1" xlm="1">#NAME?</definedName>
    <definedName name="_xlpm.x" hidden="1" xlm="1">#NAME?</definedName>
    <definedName name="_xlpm.y" hidden="1" xlm="1">#NAME?</definedName>
    <definedName name="AddNumbersRecursive">_xlfn.LAMBDA(_xlpm.NumberGroup,_xlpm.AddedNumbers,_xlpm.x,  IF(_xlpm.x=LEN(_xlpm.NumberGroup)+1,_xlpm.AddedNumbers, AddNumbersRecursive(_xlpm.NumberGroup,_xlpm.AddedNumbers+MID(_xlpm.NumberGroup,_xlpm.x,1),_xlpm.x+1) )  )</definedName>
    <definedName name="AddNumbersStandard">_xlfn.LAMBDA(_xlpm.Input,SUM(--MID(_xlpm.Input,_xlfn.SEQUENCE(LEN(_xlpm.Input)),1)))</definedName>
    <definedName name="AddTwoNumbers">_xlfn.LAMBDA(_xlpm.x,_xlpm.y,_xlpm.x+_xlpm.y)</definedName>
    <definedName name="CleanName">_xlfn.LAMBDA(_xlpm.ClubName,_xlpm.ExcludeCharacters,            IF(_xlpm.ExcludeCharacters="",_xlpm.ClubName,                CleanName(                SUBSTITUTE(_xlpm.ClubName,LEFT(_xlpm.ExcludeCharacters,1),""),                RIGHT(_xlpm.ExcludeCharacters,LEN(_xlpm.ExcludeCharacters)-1) )))</definedName>
    <definedName name="CleanName2">_xlfn.LAMBDA(_xlpm.Numbers,_xlpm.y,  CleanName2(  SUBSTITUTE(_xlpm.Numbers,LEFT(_xlpm.y,1),""), RIGHT(_xlpm.y,LEN(_xlpm.y)-1) )  )</definedName>
    <definedName name="ConcatenateNames">_xlfn.LAMBDA(_xlpm.FirstName,_xlpm.LastName,_xlpm.FirstName&amp;" "&amp;_xlpm.LastName)</definedName>
    <definedName name="ConvertToEmail">_xlfn.LAMBDA(_xlpm.FirstName,_xlpm.LastName, LOWER(_xlpm.FirstName&amp;"."&amp;_xlpm.LastName&amp;"@email.com") )</definedName>
    <definedName name="MostExpensiveTransfers">_xlfn.LAMBDA(_xlpm.Player,  _xlfn._xlws.SORT(CHOOSE({1,2,3},  _xlpm.Player,  INDEX([1]!TransfersTable[Fee],_xlfn.SEQUENCE(ROWS(_xlpm.Player),,_xlfn.XMATCH(INDEX(_xlpm.Player,1),[1]!TransfersTable[Player]))),  INDEX([1]!TransfersTable[Year],_xlfn.SEQUENCE(ROWS(_xlpm.Player),,_xlfn.XMATCH(INDEX(_xlpm.Player,1),[1]!TransfersTable[Player])))),  {2,3},{-1,-1})  )</definedName>
    <definedName name="UniqueNames">_xlfn.LAMBDA(_xlpm.x,_xlfn._xlws.SORT(_xlfn.UNIQUE(_xlpm.x)))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5" i="4" l="1"/>
  <c r="N23" i="4"/>
  <c r="N21" i="4"/>
  <c r="N20" i="4"/>
  <c r="N22" i="4"/>
  <c r="O13" i="6"/>
  <c r="O14" i="6"/>
  <c r="O15" i="6"/>
  <c r="O16" i="6"/>
  <c r="O17" i="6"/>
  <c r="O18" i="6"/>
  <c r="O19" i="6"/>
  <c r="O20" i="6"/>
  <c r="O21" i="6"/>
  <c r="O22" i="6"/>
  <c r="O30" i="6"/>
  <c r="O38" i="6"/>
  <c r="O46" i="6"/>
  <c r="O54" i="6"/>
  <c r="O62" i="6"/>
  <c r="O70" i="6"/>
  <c r="O78" i="6"/>
  <c r="O86" i="6"/>
  <c r="O94" i="6"/>
  <c r="O102" i="6"/>
  <c r="O110" i="6"/>
  <c r="P13" i="6" a="1"/>
  <c r="P13" i="6"/>
  <c r="P14" i="6" a="1"/>
  <c r="P14" i="6"/>
  <c r="P15" i="6" a="1"/>
  <c r="P15" i="6"/>
  <c r="P16" i="6" a="1"/>
  <c r="P16" i="6"/>
  <c r="P17" i="6" a="1"/>
  <c r="P17" i="6"/>
  <c r="P18" i="6" a="1"/>
  <c r="P18" i="6"/>
  <c r="P19" i="6" a="1"/>
  <c r="P19" i="6"/>
  <c r="P20" i="6" a="1"/>
  <c r="P20" i="6"/>
  <c r="P21" i="6" a="1"/>
  <c r="P21" i="6"/>
  <c r="P22" i="6" a="1"/>
  <c r="P22" i="6"/>
  <c r="P23" i="6" a="1"/>
  <c r="P23" i="6" s="1"/>
  <c r="O23" i="6" s="1"/>
  <c r="P24" i="6" a="1"/>
  <c r="P24" i="6" s="1"/>
  <c r="O24" i="6" s="1"/>
  <c r="P25" i="6" a="1"/>
  <c r="P25" i="6" s="1"/>
  <c r="O25" i="6" s="1"/>
  <c r="P26" i="6" a="1"/>
  <c r="P26" i="6" s="1"/>
  <c r="O26" i="6" s="1"/>
  <c r="P27" i="6" a="1"/>
  <c r="P27" i="6" s="1"/>
  <c r="O27" i="6" s="1"/>
  <c r="P28" i="6" a="1"/>
  <c r="P28" i="6" s="1"/>
  <c r="O28" i="6" s="1"/>
  <c r="P29" i="6" a="1"/>
  <c r="P29" i="6" s="1"/>
  <c r="O29" i="6" s="1"/>
  <c r="P30" i="6" a="1"/>
  <c r="P30" i="6" s="1"/>
  <c r="P31" i="6" a="1"/>
  <c r="P31" i="6" s="1"/>
  <c r="O31" i="6" s="1"/>
  <c r="P32" i="6" a="1"/>
  <c r="P32" i="6" s="1"/>
  <c r="O32" i="6" s="1"/>
  <c r="P33" i="6" a="1"/>
  <c r="P33" i="6" s="1"/>
  <c r="O33" i="6" s="1"/>
  <c r="P34" i="6" a="1"/>
  <c r="P34" i="6" s="1"/>
  <c r="O34" i="6" s="1"/>
  <c r="P35" i="6" a="1"/>
  <c r="P35" i="6" s="1"/>
  <c r="O35" i="6" s="1"/>
  <c r="P36" i="6" a="1"/>
  <c r="P36" i="6" s="1"/>
  <c r="O36" i="6" s="1"/>
  <c r="P37" i="6" a="1"/>
  <c r="P37" i="6" s="1"/>
  <c r="O37" i="6" s="1"/>
  <c r="P38" i="6" a="1"/>
  <c r="P38" i="6" s="1"/>
  <c r="P39" i="6" a="1"/>
  <c r="P39" i="6" s="1"/>
  <c r="O39" i="6" s="1"/>
  <c r="P40" i="6" a="1"/>
  <c r="P40" i="6" s="1"/>
  <c r="O40" i="6" s="1"/>
  <c r="P41" i="6" a="1"/>
  <c r="P41" i="6" s="1"/>
  <c r="O41" i="6" s="1"/>
  <c r="P42" i="6" a="1"/>
  <c r="P42" i="6" s="1"/>
  <c r="O42" i="6" s="1"/>
  <c r="P43" i="6" a="1"/>
  <c r="P43" i="6" s="1"/>
  <c r="O43" i="6" s="1"/>
  <c r="P44" i="6" a="1"/>
  <c r="P44" i="6" s="1"/>
  <c r="O44" i="6" s="1"/>
  <c r="P45" i="6" a="1"/>
  <c r="P45" i="6" s="1"/>
  <c r="O45" i="6" s="1"/>
  <c r="P46" i="6" a="1"/>
  <c r="P46" i="6" s="1"/>
  <c r="P47" i="6" a="1"/>
  <c r="P47" i="6" s="1"/>
  <c r="O47" i="6" s="1"/>
  <c r="P48" i="6" a="1"/>
  <c r="P48" i="6" s="1"/>
  <c r="O48" i="6" s="1"/>
  <c r="P49" i="6" a="1"/>
  <c r="P49" i="6" s="1"/>
  <c r="O49" i="6" s="1"/>
  <c r="P50" i="6" a="1"/>
  <c r="P50" i="6" s="1"/>
  <c r="O50" i="6" s="1"/>
  <c r="P51" i="6" a="1"/>
  <c r="P51" i="6" s="1"/>
  <c r="O51" i="6" s="1"/>
  <c r="P52" i="6" a="1"/>
  <c r="P52" i="6" s="1"/>
  <c r="O52" i="6" s="1"/>
  <c r="P53" i="6" a="1"/>
  <c r="P53" i="6" s="1"/>
  <c r="O53" i="6" s="1"/>
  <c r="P54" i="6" a="1"/>
  <c r="P54" i="6" s="1"/>
  <c r="P55" i="6" a="1"/>
  <c r="P55" i="6" s="1"/>
  <c r="O55" i="6" s="1"/>
  <c r="P56" i="6" a="1"/>
  <c r="P56" i="6" s="1"/>
  <c r="O56" i="6" s="1"/>
  <c r="P57" i="6" a="1"/>
  <c r="P57" i="6" s="1"/>
  <c r="O57" i="6" s="1"/>
  <c r="P58" i="6" a="1"/>
  <c r="P58" i="6" s="1"/>
  <c r="O58" i="6" s="1"/>
  <c r="P59" i="6" a="1"/>
  <c r="P59" i="6" s="1"/>
  <c r="O59" i="6" s="1"/>
  <c r="P60" i="6" a="1"/>
  <c r="P60" i="6" s="1"/>
  <c r="O60" i="6" s="1"/>
  <c r="P61" i="6" a="1"/>
  <c r="P61" i="6" s="1"/>
  <c r="O61" i="6" s="1"/>
  <c r="P62" i="6" a="1"/>
  <c r="P62" i="6" s="1"/>
  <c r="P63" i="6" a="1"/>
  <c r="P63" i="6" s="1"/>
  <c r="O63" i="6" s="1"/>
  <c r="P64" i="6" a="1"/>
  <c r="P64" i="6" s="1"/>
  <c r="O64" i="6" s="1"/>
  <c r="P65" i="6" a="1"/>
  <c r="P65" i="6" s="1"/>
  <c r="O65" i="6" s="1"/>
  <c r="P66" i="6" a="1"/>
  <c r="P66" i="6" s="1"/>
  <c r="O66" i="6" s="1"/>
  <c r="P67" i="6" a="1"/>
  <c r="P67" i="6" s="1"/>
  <c r="O67" i="6" s="1"/>
  <c r="P68" i="6" a="1"/>
  <c r="P68" i="6" s="1"/>
  <c r="O68" i="6" s="1"/>
  <c r="P69" i="6" a="1"/>
  <c r="P69" i="6" s="1"/>
  <c r="O69" i="6" s="1"/>
  <c r="P70" i="6" a="1"/>
  <c r="P70" i="6" s="1"/>
  <c r="P71" i="6" a="1"/>
  <c r="P71" i="6" s="1"/>
  <c r="O71" i="6" s="1"/>
  <c r="P72" i="6" a="1"/>
  <c r="P72" i="6" s="1"/>
  <c r="O72" i="6" s="1"/>
  <c r="P73" i="6" a="1"/>
  <c r="P73" i="6" s="1"/>
  <c r="O73" i="6" s="1"/>
  <c r="P74" i="6" a="1"/>
  <c r="P74" i="6" s="1"/>
  <c r="O74" i="6" s="1"/>
  <c r="P75" i="6" a="1"/>
  <c r="P75" i="6" s="1"/>
  <c r="O75" i="6" s="1"/>
  <c r="P76" i="6" a="1"/>
  <c r="P76" i="6" s="1"/>
  <c r="O76" i="6" s="1"/>
  <c r="P77" i="6" a="1"/>
  <c r="P77" i="6" s="1"/>
  <c r="O77" i="6" s="1"/>
  <c r="P78" i="6" a="1"/>
  <c r="P78" i="6" s="1"/>
  <c r="P79" i="6" a="1"/>
  <c r="P79" i="6" s="1"/>
  <c r="O79" i="6" s="1"/>
  <c r="P80" i="6" a="1"/>
  <c r="P80" i="6" s="1"/>
  <c r="O80" i="6" s="1"/>
  <c r="P81" i="6" a="1"/>
  <c r="P81" i="6" s="1"/>
  <c r="O81" i="6" s="1"/>
  <c r="P82" i="6" a="1"/>
  <c r="P82" i="6" s="1"/>
  <c r="O82" i="6" s="1"/>
  <c r="P83" i="6" a="1"/>
  <c r="P83" i="6" s="1"/>
  <c r="O83" i="6" s="1"/>
  <c r="P84" i="6" a="1"/>
  <c r="P84" i="6" s="1"/>
  <c r="O84" i="6" s="1"/>
  <c r="P85" i="6" a="1"/>
  <c r="P85" i="6" s="1"/>
  <c r="O85" i="6" s="1"/>
  <c r="P86" i="6" a="1"/>
  <c r="P86" i="6" s="1"/>
  <c r="P87" i="6" a="1"/>
  <c r="P87" i="6" s="1"/>
  <c r="O87" i="6" s="1"/>
  <c r="P88" i="6" a="1"/>
  <c r="P88" i="6" s="1"/>
  <c r="O88" i="6" s="1"/>
  <c r="P89" i="6" a="1"/>
  <c r="P89" i="6" s="1"/>
  <c r="O89" i="6" s="1"/>
  <c r="P90" i="6" a="1"/>
  <c r="P90" i="6" s="1"/>
  <c r="O90" i="6" s="1"/>
  <c r="P91" i="6" a="1"/>
  <c r="P91" i="6" s="1"/>
  <c r="O91" i="6" s="1"/>
  <c r="P92" i="6" a="1"/>
  <c r="P92" i="6" s="1"/>
  <c r="O92" i="6" s="1"/>
  <c r="P93" i="6" a="1"/>
  <c r="P93" i="6" s="1"/>
  <c r="O93" i="6" s="1"/>
  <c r="P94" i="6" a="1"/>
  <c r="P94" i="6" s="1"/>
  <c r="P95" i="6" a="1"/>
  <c r="P95" i="6" s="1"/>
  <c r="O95" i="6" s="1"/>
  <c r="P96" i="6" a="1"/>
  <c r="P96" i="6" s="1"/>
  <c r="O96" i="6" s="1"/>
  <c r="P97" i="6" a="1"/>
  <c r="P97" i="6" s="1"/>
  <c r="O97" i="6" s="1"/>
  <c r="P98" i="6" a="1"/>
  <c r="P98" i="6" s="1"/>
  <c r="O98" i="6" s="1"/>
  <c r="P99" i="6" a="1"/>
  <c r="P99" i="6" s="1"/>
  <c r="O99" i="6" s="1"/>
  <c r="P100" i="6" a="1"/>
  <c r="P100" i="6" s="1"/>
  <c r="O100" i="6" s="1"/>
  <c r="P101" i="6" a="1"/>
  <c r="P101" i="6" s="1"/>
  <c r="O101" i="6" s="1"/>
  <c r="P102" i="6" a="1"/>
  <c r="P102" i="6" s="1"/>
  <c r="P103" i="6" a="1"/>
  <c r="P103" i="6" s="1"/>
  <c r="O103" i="6" s="1"/>
  <c r="P104" i="6" a="1"/>
  <c r="P104" i="6" s="1"/>
  <c r="O104" i="6" s="1"/>
  <c r="P105" i="6" a="1"/>
  <c r="P105" i="6" s="1"/>
  <c r="O105" i="6" s="1"/>
  <c r="P106" i="6" a="1"/>
  <c r="P106" i="6" s="1"/>
  <c r="O106" i="6" s="1"/>
  <c r="P107" i="6" a="1"/>
  <c r="P107" i="6" s="1"/>
  <c r="O107" i="6" s="1"/>
  <c r="P108" i="6" a="1"/>
  <c r="P108" i="6" s="1"/>
  <c r="O108" i="6" s="1"/>
  <c r="P109" i="6" a="1"/>
  <c r="P109" i="6" s="1"/>
  <c r="O109" i="6" s="1"/>
  <c r="P110" i="6" a="1"/>
  <c r="P110" i="6" s="1"/>
  <c r="P111" i="6" a="1"/>
  <c r="P111" i="6" s="1"/>
  <c r="O111" i="6" s="1"/>
  <c r="P112" i="6" a="1"/>
  <c r="P112" i="6" s="1"/>
  <c r="O112" i="6" s="1"/>
  <c r="P113" i="6" a="1"/>
  <c r="P113" i="6" s="1"/>
  <c r="O113" i="6" s="1"/>
  <c r="P114" i="6" a="1"/>
  <c r="P114" i="6" s="1"/>
  <c r="O114" i="6" s="1"/>
  <c r="P115" i="6" a="1"/>
  <c r="P115" i="6" s="1"/>
  <c r="O115" i="6" s="1"/>
  <c r="P116" i="6" a="1"/>
  <c r="P116" i="6" s="1"/>
  <c r="O116" i="6" s="1"/>
  <c r="P117" i="6" a="1"/>
  <c r="P117" i="6" s="1"/>
  <c r="O117" i="6" s="1"/>
  <c r="P118" i="6" a="1"/>
  <c r="P118" i="6" s="1"/>
  <c r="O118" i="6" s="1"/>
  <c r="P119" i="6" a="1"/>
  <c r="P119" i="6" s="1"/>
  <c r="O119" i="6" s="1"/>
  <c r="P120" i="6" a="1"/>
  <c r="P120" i="6" s="1"/>
  <c r="O120" i="6" s="1"/>
  <c r="P121" i="6" a="1"/>
  <c r="P121" i="6" s="1"/>
  <c r="O121" i="6" s="1"/>
  <c r="P122" i="6" a="1"/>
  <c r="P122" i="6" s="1"/>
  <c r="O122" i="6" s="1"/>
  <c r="P123" i="6" a="1"/>
  <c r="P123" i="6" s="1"/>
  <c r="O123" i="6" s="1"/>
  <c r="P124" i="6" a="1"/>
  <c r="P124" i="6" s="1"/>
  <c r="O124" i="6" s="1"/>
  <c r="P125" i="6" a="1"/>
  <c r="P125" i="6" s="1"/>
  <c r="O125" i="6" s="1"/>
  <c r="P126" i="6" a="1"/>
  <c r="P126" i="6" s="1"/>
  <c r="O126" i="6" s="1"/>
  <c r="P127" i="6" a="1"/>
  <c r="P127" i="6" s="1"/>
  <c r="O127" i="6" s="1"/>
  <c r="P128" i="6" a="1"/>
  <c r="P128" i="6" s="1"/>
  <c r="O128" i="6" s="1"/>
  <c r="P129" i="6" a="1"/>
  <c r="P129" i="6" s="1"/>
  <c r="O129" i="6" s="1"/>
  <c r="P130" i="6" a="1"/>
  <c r="P130" i="6" s="1"/>
  <c r="O130" i="6" s="1"/>
  <c r="P131" i="6" a="1"/>
  <c r="P131" i="6" s="1"/>
  <c r="O131" i="6" s="1"/>
  <c r="P132" i="6" a="1"/>
  <c r="P132" i="6" s="1"/>
  <c r="O132" i="6" s="1"/>
  <c r="P133" i="6" a="1"/>
  <c r="P133" i="6" s="1"/>
  <c r="O133" i="6" s="1"/>
  <c r="P134" i="6" a="1"/>
  <c r="P134" i="6" s="1"/>
  <c r="O134" i="6" s="1"/>
  <c r="P135" i="6" a="1"/>
  <c r="P135" i="6" s="1"/>
  <c r="O135" i="6" s="1"/>
  <c r="P136" i="6" a="1"/>
  <c r="P136" i="6" s="1"/>
  <c r="O136" i="6" s="1"/>
  <c r="P137" i="6" a="1"/>
  <c r="P137" i="6" s="1"/>
  <c r="O137" i="6" s="1"/>
  <c r="P138" i="6" a="1"/>
  <c r="P138" i="6" s="1"/>
  <c r="O138" i="6" s="1"/>
  <c r="P139" i="6" a="1"/>
  <c r="P139" i="6" s="1"/>
  <c r="O139" i="6" s="1"/>
  <c r="P140" i="6" a="1"/>
  <c r="P140" i="6" s="1"/>
  <c r="O140" i="6" s="1"/>
  <c r="P141" i="6" a="1"/>
  <c r="P141" i="6" s="1"/>
  <c r="O141" i="6" s="1"/>
  <c r="P142" i="6" a="1"/>
  <c r="P142" i="6" s="1"/>
  <c r="O142" i="6" s="1"/>
  <c r="P143" i="6" a="1"/>
  <c r="P143" i="6" s="1"/>
  <c r="O143" i="6" s="1"/>
  <c r="P144" i="6" a="1"/>
  <c r="P144" i="6" s="1"/>
  <c r="O144" i="6" s="1"/>
  <c r="P145" i="6" a="1"/>
  <c r="P145" i="6" s="1"/>
  <c r="O145" i="6" s="1"/>
  <c r="P146" i="6" a="1"/>
  <c r="P146" i="6" s="1"/>
  <c r="O146" i="6" s="1"/>
  <c r="P147" i="6" a="1"/>
  <c r="P147" i="6" s="1"/>
  <c r="O147" i="6" s="1"/>
  <c r="P148" i="6" a="1"/>
  <c r="P148" i="6" s="1"/>
  <c r="O148" i="6" s="1"/>
  <c r="P149" i="6" a="1"/>
  <c r="P149" i="6" s="1"/>
  <c r="O149" i="6" s="1"/>
  <c r="P150" i="6" a="1"/>
  <c r="P150" i="6" s="1"/>
  <c r="O150" i="6" s="1"/>
  <c r="P151" i="6" a="1"/>
  <c r="P151" i="6" s="1"/>
  <c r="O151" i="6" s="1"/>
  <c r="P152" i="6" a="1"/>
  <c r="P152" i="6" s="1"/>
  <c r="O152" i="6" s="1"/>
  <c r="P153" i="6" a="1"/>
  <c r="P153" i="6" s="1"/>
  <c r="O153" i="6" s="1"/>
  <c r="P154" i="6" a="1"/>
  <c r="P154" i="6" s="1"/>
  <c r="O154" i="6" s="1"/>
  <c r="P155" i="6" a="1"/>
  <c r="P155" i="6" s="1"/>
  <c r="O155" i="6" s="1"/>
  <c r="P156" i="6" a="1"/>
  <c r="P156" i="6" s="1"/>
  <c r="O156" i="6" s="1"/>
  <c r="P157" i="6" a="1"/>
  <c r="P157" i="6" s="1"/>
  <c r="O157" i="6" s="1"/>
  <c r="P158" i="6" a="1"/>
  <c r="P158" i="6" s="1"/>
  <c r="O158" i="6" s="1"/>
  <c r="P159" i="6" a="1"/>
  <c r="P159" i="6" s="1"/>
  <c r="O159" i="6" s="1"/>
  <c r="P160" i="6" a="1"/>
  <c r="P160" i="6" s="1"/>
  <c r="O160" i="6" s="1"/>
  <c r="P161" i="6" a="1"/>
  <c r="P161" i="6" s="1"/>
  <c r="O161" i="6" s="1"/>
  <c r="P162" i="6" a="1"/>
  <c r="P162" i="6" s="1"/>
  <c r="O162" i="6" s="1"/>
  <c r="P163" i="6" a="1"/>
  <c r="P163" i="6" s="1"/>
  <c r="O163" i="6" s="1"/>
  <c r="P164" i="6" a="1"/>
  <c r="P164" i="6" s="1"/>
  <c r="O164" i="6" s="1"/>
  <c r="P165" i="6" a="1"/>
  <c r="P165" i="6" s="1"/>
  <c r="O165" i="6" s="1"/>
  <c r="P166" i="6" a="1"/>
  <c r="P166" i="6" s="1"/>
  <c r="O166" i="6" s="1"/>
  <c r="P167" i="6" a="1"/>
  <c r="P167" i="6" s="1"/>
  <c r="O167" i="6" s="1"/>
  <c r="P168" i="6" a="1"/>
  <c r="P168" i="6" s="1"/>
  <c r="O168" i="6" s="1"/>
  <c r="P169" i="6" a="1"/>
  <c r="P169" i="6" s="1"/>
  <c r="O169" i="6" s="1"/>
  <c r="P170" i="6" a="1"/>
  <c r="P170" i="6" s="1"/>
  <c r="O170" i="6" s="1"/>
  <c r="P171" i="6" a="1"/>
  <c r="P171" i="6" s="1"/>
  <c r="O171" i="6" s="1"/>
  <c r="P172" i="6" a="1"/>
  <c r="P172" i="6" s="1"/>
  <c r="O172" i="6" s="1"/>
  <c r="P173" i="6" a="1"/>
  <c r="P173" i="6" s="1"/>
  <c r="O173" i="6" s="1"/>
  <c r="P174" i="6" a="1"/>
  <c r="P174" i="6" s="1"/>
  <c r="O174" i="6" s="1"/>
  <c r="P175" i="6" a="1"/>
  <c r="P175" i="6" s="1"/>
  <c r="O175" i="6" s="1"/>
  <c r="P176" i="6" a="1"/>
  <c r="P176" i="6" s="1"/>
  <c r="O176" i="6" s="1"/>
  <c r="P177" i="6" a="1"/>
  <c r="P177" i="6" s="1"/>
  <c r="O177" i="6" s="1"/>
  <c r="P178" i="6" a="1"/>
  <c r="P178" i="6" s="1"/>
  <c r="O178" i="6" s="1"/>
  <c r="P179" i="6" a="1"/>
  <c r="P179" i="6" s="1"/>
  <c r="O179" i="6" s="1"/>
  <c r="P180" i="6" a="1"/>
  <c r="P180" i="6" s="1"/>
  <c r="O180" i="6" s="1"/>
  <c r="P181" i="6" a="1"/>
  <c r="P181" i="6" s="1"/>
  <c r="O181" i="6" s="1"/>
  <c r="P182" i="6" a="1"/>
  <c r="P182" i="6" s="1"/>
  <c r="O182" i="6" s="1"/>
  <c r="P183" i="6" a="1"/>
  <c r="P183" i="6" s="1"/>
  <c r="O183" i="6" s="1"/>
  <c r="P184" i="6" a="1"/>
  <c r="P184" i="6" s="1"/>
  <c r="O184" i="6" s="1"/>
  <c r="P185" i="6" a="1"/>
  <c r="P185" i="6" s="1"/>
  <c r="O185" i="6" s="1"/>
  <c r="P186" i="6" a="1"/>
  <c r="P186" i="6" s="1"/>
  <c r="O186" i="6" s="1"/>
  <c r="P187" i="6" a="1"/>
  <c r="P187" i="6" s="1"/>
  <c r="O187" i="6" s="1"/>
  <c r="P188" i="6" a="1"/>
  <c r="P188" i="6" s="1"/>
  <c r="O188" i="6" s="1"/>
  <c r="P189" i="6" a="1"/>
  <c r="P189" i="6" s="1"/>
  <c r="O189" i="6" s="1"/>
  <c r="P190" i="6" a="1"/>
  <c r="P190" i="6" s="1"/>
  <c r="O190" i="6" s="1"/>
  <c r="P191" i="6" a="1"/>
  <c r="P191" i="6" s="1"/>
  <c r="O191" i="6" s="1"/>
  <c r="P192" i="6" a="1"/>
  <c r="P192" i="6" s="1"/>
  <c r="O192" i="6" s="1"/>
  <c r="P193" i="6" a="1"/>
  <c r="P193" i="6" s="1"/>
  <c r="O193" i="6" s="1"/>
  <c r="P194" i="6" a="1"/>
  <c r="P194" i="6" s="1"/>
  <c r="O194" i="6" s="1"/>
  <c r="P195" i="6" a="1"/>
  <c r="P195" i="6" s="1"/>
  <c r="O195" i="6" s="1"/>
  <c r="P196" i="6" a="1"/>
  <c r="P196" i="6" s="1"/>
  <c r="O196" i="6" s="1"/>
  <c r="P197" i="6" a="1"/>
  <c r="P197" i="6" s="1"/>
  <c r="O197" i="6" s="1"/>
  <c r="P198" i="6" a="1"/>
  <c r="P198" i="6" s="1"/>
  <c r="O198" i="6" s="1"/>
  <c r="P199" i="6" a="1"/>
  <c r="P199" i="6" s="1"/>
  <c r="O199" i="6" s="1"/>
  <c r="P200" i="6" a="1"/>
  <c r="P200" i="6" s="1"/>
  <c r="O200" i="6" s="1"/>
  <c r="P201" i="6" a="1"/>
  <c r="P201" i="6" s="1"/>
  <c r="O201" i="6" s="1"/>
  <c r="P202" i="6" a="1"/>
  <c r="P202" i="6" s="1"/>
  <c r="O202" i="6" s="1"/>
  <c r="P203" i="6" a="1"/>
  <c r="P203" i="6" s="1"/>
  <c r="O203" i="6" s="1"/>
  <c r="P204" i="6" a="1"/>
  <c r="P204" i="6" s="1"/>
  <c r="O204" i="6" s="1"/>
  <c r="P205" i="6" a="1"/>
  <c r="P205" i="6" s="1"/>
  <c r="O205" i="6" s="1"/>
  <c r="P206" i="6" a="1"/>
  <c r="P206" i="6" s="1"/>
  <c r="O206" i="6" s="1"/>
  <c r="P207" i="6" a="1"/>
  <c r="P207" i="6" s="1"/>
  <c r="O207" i="6" s="1"/>
  <c r="P208" i="6" a="1"/>
  <c r="P208" i="6" s="1"/>
  <c r="O208" i="6" s="1"/>
  <c r="P209" i="6" a="1"/>
  <c r="P209" i="6" s="1"/>
  <c r="O209" i="6" s="1"/>
  <c r="P210" i="6" a="1"/>
  <c r="P210" i="6" s="1"/>
  <c r="O210" i="6" s="1"/>
  <c r="P211" i="6" a="1"/>
  <c r="P211" i="6" s="1"/>
  <c r="O211" i="6" s="1"/>
  <c r="P212" i="6" a="1"/>
  <c r="P212" i="6" s="1"/>
  <c r="O212" i="6" s="1"/>
  <c r="P213" i="6" a="1"/>
  <c r="P213" i="6" s="1"/>
  <c r="O213" i="6" s="1"/>
  <c r="P214" i="6" a="1"/>
  <c r="P214" i="6" s="1"/>
  <c r="O214" i="6" s="1"/>
  <c r="P215" i="6" a="1"/>
  <c r="P215" i="6" s="1"/>
  <c r="O215" i="6" s="1"/>
  <c r="P216" i="6" a="1"/>
  <c r="P216" i="6" s="1"/>
  <c r="O216" i="6" s="1"/>
  <c r="P217" i="6" a="1"/>
  <c r="P217" i="6" s="1"/>
  <c r="O217" i="6" s="1"/>
  <c r="P218" i="6" a="1"/>
  <c r="P218" i="6" s="1"/>
  <c r="O218" i="6" s="1"/>
  <c r="P219" i="6" a="1"/>
  <c r="P219" i="6" s="1"/>
  <c r="O219" i="6" s="1"/>
  <c r="P220" i="6" a="1"/>
  <c r="P220" i="6" s="1"/>
  <c r="O220" i="6" s="1"/>
  <c r="P221" i="6" a="1"/>
  <c r="P221" i="6" s="1"/>
  <c r="O221" i="6" s="1"/>
  <c r="P222" i="6" a="1"/>
  <c r="P222" i="6" s="1"/>
  <c r="O222" i="6" s="1"/>
  <c r="P223" i="6" a="1"/>
  <c r="P223" i="6" s="1"/>
  <c r="O223" i="6" s="1"/>
  <c r="P224" i="6" a="1"/>
  <c r="P224" i="6" s="1"/>
  <c r="O224" i="6" s="1"/>
  <c r="P225" i="6" a="1"/>
  <c r="P225" i="6" s="1"/>
  <c r="O225" i="6" s="1"/>
  <c r="P226" i="6" a="1"/>
  <c r="P226" i="6" s="1"/>
  <c r="O226" i="6" s="1"/>
  <c r="P227" i="6" a="1"/>
  <c r="P227" i="6" s="1"/>
  <c r="O227" i="6" s="1"/>
  <c r="P228" i="6" a="1"/>
  <c r="P228" i="6" s="1"/>
  <c r="O228" i="6" s="1"/>
  <c r="P229" i="6" a="1"/>
  <c r="P229" i="6" s="1"/>
  <c r="O229" i="6" s="1"/>
  <c r="P230" i="6" a="1"/>
  <c r="P230" i="6" s="1"/>
  <c r="O230" i="6" s="1"/>
  <c r="P231" i="6" a="1"/>
  <c r="P231" i="6" s="1"/>
  <c r="O231" i="6" s="1"/>
  <c r="P232" i="6" a="1"/>
  <c r="P232" i="6" s="1"/>
  <c r="O232" i="6" s="1"/>
  <c r="P233" i="6" a="1"/>
  <c r="P233" i="6" s="1"/>
  <c r="O233" i="6" s="1"/>
  <c r="P234" i="6" a="1"/>
  <c r="P234" i="6" s="1"/>
  <c r="O234" i="6" s="1"/>
  <c r="P235" i="6" a="1"/>
  <c r="P235" i="6" s="1"/>
  <c r="O235" i="6" s="1"/>
  <c r="P236" i="6" a="1"/>
  <c r="P236" i="6" s="1"/>
  <c r="O236" i="6" s="1"/>
  <c r="P237" i="6" a="1"/>
  <c r="P237" i="6" s="1"/>
  <c r="O237" i="6" s="1"/>
  <c r="P238" i="6" a="1"/>
  <c r="P238" i="6" s="1"/>
  <c r="O238" i="6" s="1"/>
  <c r="P239" i="6" a="1"/>
  <c r="P239" i="6" s="1"/>
  <c r="O239" i="6" s="1"/>
  <c r="P240" i="6" a="1"/>
  <c r="P240" i="6" s="1"/>
  <c r="O240" i="6" s="1"/>
  <c r="P241" i="6" a="1"/>
  <c r="P241" i="6" s="1"/>
  <c r="O241" i="6" s="1"/>
  <c r="P242" i="6" a="1"/>
  <c r="P242" i="6" s="1"/>
  <c r="O242" i="6" s="1"/>
  <c r="P243" i="6" a="1"/>
  <c r="P243" i="6" s="1"/>
  <c r="O243" i="6" s="1"/>
  <c r="P244" i="6" a="1"/>
  <c r="P244" i="6" s="1"/>
  <c r="O244" i="6" s="1"/>
  <c r="P245" i="6" a="1"/>
  <c r="P245" i="6" s="1"/>
  <c r="O245" i="6" s="1"/>
  <c r="P246" i="6" a="1"/>
  <c r="P246" i="6" s="1"/>
  <c r="O246" i="6" s="1"/>
  <c r="P247" i="6" a="1"/>
  <c r="P247" i="6" s="1"/>
  <c r="O247" i="6" s="1"/>
  <c r="P248" i="6" a="1"/>
  <c r="P248" i="6" s="1"/>
  <c r="O248" i="6" s="1"/>
  <c r="P249" i="6" a="1"/>
  <c r="P249" i="6" s="1"/>
  <c r="O249" i="6" s="1"/>
  <c r="P250" i="6" a="1"/>
  <c r="P250" i="6" s="1"/>
  <c r="O250" i="6" s="1"/>
  <c r="P251" i="6" a="1"/>
  <c r="P251" i="6" s="1"/>
  <c r="O251" i="6" s="1"/>
  <c r="P252" i="6" a="1"/>
  <c r="P252" i="6" s="1"/>
  <c r="O252" i="6" s="1"/>
  <c r="P253" i="6" a="1"/>
  <c r="P253" i="6" s="1"/>
  <c r="O253" i="6" s="1"/>
  <c r="P254" i="6" a="1"/>
  <c r="P254" i="6" s="1"/>
  <c r="O254" i="6" s="1"/>
  <c r="P255" i="6" a="1"/>
  <c r="P255" i="6" s="1"/>
  <c r="O255" i="6" s="1"/>
  <c r="P256" i="6" a="1"/>
  <c r="P256" i="6" s="1"/>
  <c r="O256" i="6" s="1"/>
  <c r="P257" i="6" a="1"/>
  <c r="P257" i="6" s="1"/>
  <c r="O257" i="6" s="1"/>
  <c r="P258" i="6" a="1"/>
  <c r="P258" i="6" s="1"/>
  <c r="O258" i="6" s="1"/>
  <c r="P259" i="6" a="1"/>
  <c r="P259" i="6" s="1"/>
  <c r="O259" i="6" s="1"/>
  <c r="P260" i="6" a="1"/>
  <c r="P260" i="6" s="1"/>
  <c r="O260" i="6" s="1"/>
  <c r="P261" i="6" a="1"/>
  <c r="P261" i="6" s="1"/>
  <c r="O261" i="6" s="1"/>
  <c r="P262" i="6" a="1"/>
  <c r="P262" i="6" s="1"/>
  <c r="O262" i="6" s="1"/>
  <c r="P263" i="6" a="1"/>
  <c r="P263" i="6" s="1"/>
  <c r="O263" i="6" s="1"/>
  <c r="P264" i="6" a="1"/>
  <c r="P264" i="6" s="1"/>
  <c r="O264" i="6" s="1"/>
  <c r="P265" i="6" a="1"/>
  <c r="P265" i="6" s="1"/>
  <c r="O265" i="6" s="1"/>
  <c r="P266" i="6" a="1"/>
  <c r="P266" i="6" s="1"/>
  <c r="O266" i="6" s="1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Y18" i="6"/>
  <c r="Y14" i="6"/>
  <c r="Y13" i="6"/>
  <c r="I37" i="2"/>
  <c r="J37" i="2" s="1"/>
  <c r="J36" i="2"/>
  <c r="J35" i="2"/>
  <c r="J34" i="2"/>
  <c r="J33" i="2"/>
  <c r="I32" i="2"/>
  <c r="J32" i="2" s="1"/>
  <c r="J31" i="2"/>
  <c r="J27" i="2"/>
  <c r="I27" i="2"/>
  <c r="J26" i="2"/>
  <c r="J25" i="2"/>
  <c r="J24" i="2"/>
  <c r="J23" i="2"/>
  <c r="J22" i="2"/>
  <c r="I22" i="2"/>
  <c r="J21" i="2"/>
  <c r="I17" i="2"/>
  <c r="J17" i="2" s="1"/>
  <c r="J16" i="2"/>
  <c r="J15" i="2"/>
  <c r="J14" i="2"/>
  <c r="J13" i="2"/>
  <c r="I12" i="2"/>
  <c r="J12" i="2" s="1"/>
  <c r="J11" i="2"/>
  <c r="O21" i="3" l="1"/>
  <c r="O22" i="3"/>
  <c r="O23" i="3"/>
  <c r="O24" i="3"/>
  <c r="O25" i="3"/>
  <c r="O26" i="3"/>
  <c r="O27" i="3"/>
  <c r="O28" i="3"/>
  <c r="O29" i="3"/>
  <c r="O30" i="3"/>
  <c r="O31" i="3"/>
  <c r="O32" i="3"/>
  <c r="O33" i="3"/>
  <c r="O35" i="3" a="1"/>
  <c r="O35" i="3" s="1"/>
  <c r="O34" i="3" a="1"/>
  <c r="O34" i="3" s="1"/>
  <c r="Y15" i="6"/>
  <c r="N21" i="3"/>
  <c r="Q21" i="3"/>
  <c r="P21" i="3"/>
  <c r="S21" i="3"/>
  <c r="R21" i="3"/>
  <c r="N22" i="3"/>
  <c r="Q22" i="3"/>
  <c r="P22" i="3"/>
  <c r="S22" i="3"/>
  <c r="R22" i="3"/>
  <c r="N23" i="3"/>
  <c r="Q23" i="3"/>
  <c r="P23" i="3"/>
  <c r="S23" i="3"/>
  <c r="R23" i="3"/>
  <c r="N24" i="3"/>
  <c r="Q24" i="3"/>
  <c r="P24" i="3"/>
  <c r="S24" i="3"/>
  <c r="R24" i="3"/>
  <c r="N25" i="3"/>
  <c r="Q25" i="3"/>
  <c r="P25" i="3"/>
  <c r="S25" i="3"/>
  <c r="R25" i="3"/>
  <c r="N26" i="3"/>
  <c r="Q26" i="3"/>
  <c r="P26" i="3"/>
  <c r="S26" i="3"/>
  <c r="R26" i="3"/>
  <c r="N27" i="3"/>
  <c r="Q27" i="3"/>
  <c r="P27" i="3"/>
  <c r="S27" i="3"/>
  <c r="R27" i="3"/>
  <c r="N28" i="3"/>
  <c r="Q28" i="3"/>
  <c r="P28" i="3"/>
  <c r="S28" i="3"/>
  <c r="R28" i="3"/>
  <c r="N29" i="3"/>
  <c r="Q29" i="3"/>
  <c r="P29" i="3"/>
  <c r="S29" i="3"/>
  <c r="R29" i="3"/>
  <c r="N30" i="3"/>
  <c r="Q30" i="3"/>
  <c r="P30" i="3"/>
  <c r="S30" i="3"/>
  <c r="R30" i="3"/>
  <c r="N31" i="3"/>
  <c r="Q31" i="3"/>
  <c r="P31" i="3"/>
  <c r="S31" i="3"/>
  <c r="R31" i="3"/>
  <c r="N32" i="3"/>
  <c r="Q32" i="3"/>
  <c r="P32" i="3"/>
  <c r="S32" i="3"/>
  <c r="R32" i="3"/>
  <c r="N33" i="3"/>
  <c r="Q33" i="3"/>
  <c r="P33" i="3"/>
  <c r="S33" i="3"/>
  <c r="R33" i="3"/>
  <c r="N35" i="3" a="1"/>
  <c r="N35" i="3" s="1"/>
  <c r="Q35" i="3" a="1"/>
  <c r="Q35" i="3" s="1"/>
  <c r="P35" i="3" a="1"/>
  <c r="P35" i="3" s="1"/>
  <c r="S35" i="3" a="1"/>
  <c r="S35" i="3" s="1"/>
  <c r="R35" i="3" a="1"/>
  <c r="R35" i="3" s="1"/>
  <c r="N34" i="3" a="1"/>
  <c r="N34" i="3" s="1"/>
  <c r="Q34" i="3" a="1"/>
  <c r="Q34" i="3" s="1"/>
  <c r="P34" i="3" a="1"/>
  <c r="P34" i="3" s="1"/>
  <c r="S34" i="3" a="1"/>
  <c r="S34" i="3" s="1"/>
  <c r="R34" i="3" a="1"/>
  <c r="R34" i="3" s="1"/>
  <c r="L21" i="3"/>
  <c r="L22" i="3"/>
  <c r="L35" i="3" a="1"/>
  <c r="L35" i="3" s="1"/>
  <c r="Y17" i="6"/>
  <c r="Y16" i="6"/>
  <c r="Y12" i="6"/>
  <c r="L23" i="3"/>
  <c r="K12" i="6"/>
  <c r="M12" i="6"/>
  <c r="L12" i="6" s="1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P12" i="6" a="1"/>
  <c r="P12" i="6" s="1"/>
  <c r="K11" i="3"/>
  <c r="L30" i="3"/>
  <c r="L29" i="3"/>
  <c r="I16" i="4"/>
  <c r="J16" i="4"/>
  <c r="M16" i="4"/>
  <c r="N16" i="4"/>
  <c r="M25" i="4"/>
  <c r="M21" i="4"/>
  <c r="M22" i="4"/>
  <c r="M23" i="4"/>
  <c r="M24" i="4"/>
  <c r="M20" i="4"/>
  <c r="J21" i="4"/>
  <c r="J22" i="4"/>
  <c r="J23" i="4"/>
  <c r="J24" i="4"/>
  <c r="J25" i="4"/>
  <c r="J20" i="4"/>
  <c r="N24" i="4"/>
  <c r="I25" i="4"/>
  <c r="I24" i="4"/>
  <c r="I21" i="4"/>
  <c r="I22" i="4"/>
  <c r="I23" i="4"/>
  <c r="I20" i="4"/>
  <c r="N12" i="4"/>
  <c r="N13" i="4"/>
  <c r="N14" i="4"/>
  <c r="N15" i="4"/>
  <c r="M12" i="4"/>
  <c r="M13" i="4"/>
  <c r="M14" i="4"/>
  <c r="M15" i="4"/>
  <c r="N11" i="4"/>
  <c r="M11" i="4"/>
  <c r="J12" i="4"/>
  <c r="J13" i="4"/>
  <c r="J14" i="4"/>
  <c r="J15" i="4"/>
  <c r="J11" i="4"/>
  <c r="I12" i="4"/>
  <c r="I13" i="4"/>
  <c r="I14" i="4"/>
  <c r="I15" i="4"/>
  <c r="I11" i="4"/>
  <c r="L34" i="3" a="1"/>
  <c r="L34" i="3" s="1"/>
  <c r="L24" i="3"/>
  <c r="L25" i="3"/>
  <c r="L26" i="3"/>
  <c r="L27" i="3"/>
  <c r="L28" i="3"/>
  <c r="L32" i="3"/>
  <c r="L33" i="3"/>
  <c r="L31" i="3"/>
  <c r="K17" i="3"/>
  <c r="K16" i="3"/>
  <c r="K15" i="3"/>
  <c r="K14" i="3"/>
  <c r="K13" i="3"/>
  <c r="K12" i="3"/>
  <c r="J24" i="3"/>
  <c r="J22" i="3"/>
  <c r="J28" i="3"/>
  <c r="J26" i="3"/>
  <c r="J32" i="3"/>
  <c r="J23" i="3"/>
  <c r="J35" i="3"/>
  <c r="J27" i="3"/>
  <c r="J21" i="3"/>
  <c r="J30" i="3"/>
  <c r="J25" i="3"/>
  <c r="J33" i="3"/>
  <c r="J31" i="3"/>
  <c r="J34" i="3"/>
  <c r="J29" i="3"/>
  <c r="M21" i="3" l="1"/>
  <c r="M34" i="3" a="1"/>
  <c r="M34" i="3" s="1"/>
  <c r="M35" i="3" a="1"/>
  <c r="M35" i="3" s="1"/>
  <c r="M33" i="3"/>
  <c r="M32" i="3"/>
  <c r="M31" i="3"/>
  <c r="M30" i="3"/>
  <c r="M29" i="3"/>
  <c r="M28" i="3"/>
  <c r="M27" i="3"/>
  <c r="M26" i="3"/>
  <c r="M25" i="3"/>
  <c r="M24" i="3"/>
  <c r="M23" i="3"/>
  <c r="M22" i="3"/>
  <c r="X18" i="6"/>
  <c r="X16" i="6"/>
  <c r="X14" i="6"/>
  <c r="X17" i="6"/>
  <c r="X15" i="6"/>
  <c r="X13" i="6"/>
  <c r="X12" i="6"/>
  <c r="AA21" i="3" l="1" a="1"/>
  <c r="AA21" i="3" l="1"/>
  <c r="AJ21" i="3" s="1"/>
  <c r="AJ23" i="3"/>
  <c r="AJ25" i="3"/>
  <c r="AJ27" i="3"/>
  <c r="AJ29" i="3"/>
  <c r="AJ31" i="3"/>
  <c r="AJ33" i="3"/>
  <c r="AJ35" i="3"/>
  <c r="AJ22" i="3"/>
  <c r="AJ24" i="3"/>
  <c r="AJ26" i="3"/>
  <c r="AJ28" i="3"/>
  <c r="AJ30" i="3"/>
  <c r="AJ32" i="3"/>
  <c r="AJ34" i="3"/>
  <c r="O12" i="6"/>
  <c r="S12" i="6" s="1" a="1"/>
  <c r="AL25" i="3" l="1" a="1"/>
  <c r="AL25" i="3" s="1"/>
  <c r="AN25" i="3" s="1"/>
  <c r="I25" i="3" s="1"/>
  <c r="AK26" i="3" a="1"/>
  <c r="AK26" i="3" s="1"/>
  <c r="AK33" i="3" a="1"/>
  <c r="AK33" i="3" s="1"/>
  <c r="AN33" i="3" s="1"/>
  <c r="I33" i="3" s="1"/>
  <c r="AL32" i="3" a="1"/>
  <c r="AL32" i="3" s="1"/>
  <c r="AL33" i="3" a="1"/>
  <c r="AL33" i="3" s="1"/>
  <c r="AL27" i="3" a="1"/>
  <c r="AL27" i="3" s="1"/>
  <c r="AK28" i="3" a="1"/>
  <c r="AK28" i="3" s="1"/>
  <c r="AK34" i="3" a="1"/>
  <c r="AK34" i="3" s="1"/>
  <c r="AN34" i="3" s="1"/>
  <c r="I35" i="3" s="1"/>
  <c r="AK35" i="3" a="1"/>
  <c r="AK35" i="3" s="1"/>
  <c r="AL28" i="3" a="1"/>
  <c r="AL28" i="3" s="1"/>
  <c r="AK21" i="3" a="1"/>
  <c r="AK21" i="3" s="1"/>
  <c r="AL31" i="3" a="1"/>
  <c r="AL31" i="3" s="1"/>
  <c r="AK31" i="3" a="1"/>
  <c r="AK31" i="3" s="1"/>
  <c r="AL30" i="3" a="1"/>
  <c r="AL30" i="3" s="1"/>
  <c r="AM31" i="3" a="1"/>
  <c r="AM31" i="3" s="1"/>
  <c r="AM27" i="3" a="1"/>
  <c r="AM27" i="3" s="1"/>
  <c r="AK25" i="3" a="1"/>
  <c r="AK25" i="3" s="1"/>
  <c r="AM29" i="3" a="1"/>
  <c r="AM29" i="3" s="1"/>
  <c r="AM24" i="3" a="1"/>
  <c r="AM24" i="3" s="1"/>
  <c r="AL26" i="3" a="1"/>
  <c r="AL26" i="3" s="1"/>
  <c r="AK29" i="3" a="1"/>
  <c r="AK29" i="3" s="1"/>
  <c r="AN29" i="3" s="1"/>
  <c r="I29" i="3" s="1"/>
  <c r="AM34" i="3" a="1"/>
  <c r="AM34" i="3" s="1"/>
  <c r="AM26" i="3" a="1"/>
  <c r="AM26" i="3" s="1"/>
  <c r="AK22" i="3" a="1"/>
  <c r="AK22" i="3" s="1"/>
  <c r="AK27" i="3" a="1"/>
  <c r="AK27" i="3" s="1"/>
  <c r="AK24" i="3" a="1"/>
  <c r="AK24" i="3" s="1"/>
  <c r="AL34" i="3" a="1"/>
  <c r="AL34" i="3" s="1"/>
  <c r="AL35" i="3" a="1"/>
  <c r="AL35" i="3" s="1"/>
  <c r="AK32" i="3" a="1"/>
  <c r="AK32" i="3" s="1"/>
  <c r="AN32" i="3" s="1"/>
  <c r="I32" i="3" s="1"/>
  <c r="AL29" i="3" a="1"/>
  <c r="AL29" i="3" s="1"/>
  <c r="AL21" i="3" a="1"/>
  <c r="AL21" i="3" s="1"/>
  <c r="AM23" i="3" a="1"/>
  <c r="AM23" i="3" s="1"/>
  <c r="AK30" i="3" a="1"/>
  <c r="AK30" i="3" s="1"/>
  <c r="AL23" i="3" a="1"/>
  <c r="AL23" i="3" s="1"/>
  <c r="AK23" i="3" a="1"/>
  <c r="AK23" i="3" s="1"/>
  <c r="AL24" i="3" a="1"/>
  <c r="AL24" i="3" s="1"/>
  <c r="AM35" i="3" a="1"/>
  <c r="AM35" i="3" s="1"/>
  <c r="AM33" i="3" a="1"/>
  <c r="AM33" i="3" s="1"/>
  <c r="AM25" i="3" a="1"/>
  <c r="AM25" i="3" s="1"/>
  <c r="AM30" i="3" a="1"/>
  <c r="AM30" i="3" s="1"/>
  <c r="AM32" i="3" a="1"/>
  <c r="AM32" i="3" s="1"/>
  <c r="AL22" i="3" a="1"/>
  <c r="AL22" i="3" s="1"/>
  <c r="AM21" i="3" a="1"/>
  <c r="AM21" i="3" s="1"/>
  <c r="AM28" i="3" a="1"/>
  <c r="AM28" i="3" s="1"/>
  <c r="AM22" i="3" a="1"/>
  <c r="AM22" i="3" s="1"/>
  <c r="AN31" i="3"/>
  <c r="I31" i="3" s="1"/>
  <c r="AN35" i="3"/>
  <c r="I34" i="3" s="1"/>
  <c r="AN28" i="3"/>
  <c r="I28" i="3" s="1"/>
  <c r="AN27" i="3"/>
  <c r="I27" i="3" s="1"/>
  <c r="S12" i="6"/>
  <c r="AN22" i="3" l="1"/>
  <c r="I22" i="3" s="1"/>
  <c r="AN23" i="3"/>
  <c r="I23" i="3" s="1"/>
  <c r="AN30" i="3"/>
  <c r="I30" i="3" s="1"/>
  <c r="AN21" i="3"/>
  <c r="I21" i="3" s="1"/>
  <c r="AN24" i="3"/>
  <c r="I24" i="3" s="1"/>
  <c r="AN26" i="3"/>
  <c r="I26" i="3" s="1"/>
  <c r="W15" i="6"/>
  <c r="W18" i="6"/>
  <c r="W12" i="6"/>
  <c r="W13" i="6"/>
  <c r="W16" i="6"/>
  <c r="W14" i="6"/>
  <c r="W17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<sst xmlns="http://schemas.openxmlformats.org/spreadsheetml/2006/main" count="653" uniqueCount="568">
  <si>
    <t xml:space="preserve"> </t>
  </si>
  <si>
    <t>Value</t>
  </si>
  <si>
    <t>Blank</t>
  </si>
  <si>
    <t>Equal to 0</t>
  </si>
  <si>
    <t>Empty String</t>
  </si>
  <si>
    <t>A</t>
  </si>
  <si>
    <t>0 (Number)</t>
  </si>
  <si>
    <t>Part 1</t>
  </si>
  <si>
    <t>Custom Formatted (;;;)</t>
  </si>
  <si>
    <t>Text</t>
  </si>
  <si>
    <t>B</t>
  </si>
  <si>
    <t>C</t>
  </si>
  <si>
    <t>D</t>
  </si>
  <si>
    <t>E</t>
  </si>
  <si>
    <t>F</t>
  </si>
  <si>
    <t>G</t>
  </si>
  <si>
    <t>Number</t>
  </si>
  <si>
    <t>Part 2</t>
  </si>
  <si>
    <t>0 (String)</t>
  </si>
  <si>
    <t>Method</t>
  </si>
  <si>
    <t>Included Columns</t>
  </si>
  <si>
    <t>1st Instance Row</t>
  </si>
  <si>
    <t>2nd Instance Row</t>
  </si>
  <si>
    <t>Row</t>
  </si>
  <si>
    <t>1</t>
  </si>
  <si>
    <t>2</t>
  </si>
  <si>
    <t>3</t>
  </si>
  <si>
    <t>5</t>
  </si>
  <si>
    <t>4</t>
  </si>
  <si>
    <t>6</t>
  </si>
  <si>
    <t>Part 3</t>
  </si>
  <si>
    <t>ISNUMBER</t>
  </si>
  <si>
    <t>ISTEXT</t>
  </si>
  <si>
    <t>#N/A</t>
  </si>
  <si>
    <t>#DIV/0!</t>
  </si>
  <si>
    <t>#NAME?</t>
  </si>
  <si>
    <t>#VALUE!</t>
  </si>
  <si>
    <t>#NULL!</t>
  </si>
  <si>
    <t>#NUM!</t>
  </si>
  <si>
    <t>ISERROR</t>
  </si>
  <si>
    <t>Custom Formatted Number</t>
  </si>
  <si>
    <t>Custom Formatted Text</t>
  </si>
  <si>
    <t>Invisible Character</t>
  </si>
  <si>
    <t>Table P2.1 — Data</t>
  </si>
  <si>
    <t>Table P2.2 — Included in Count</t>
  </si>
  <si>
    <t>Table P1.1
Check for Blanks</t>
  </si>
  <si>
    <t>Table P1.2
Check for Empty Strings</t>
  </si>
  <si>
    <t>Table P1.3
Check for Zeros</t>
  </si>
  <si>
    <t>Table P3.1
Number (Stored As Number)</t>
  </si>
  <si>
    <t>Table P3.2
Number (Stored As Text)</t>
  </si>
  <si>
    <t>Table P3.3
Error (Stored As Error)</t>
  </si>
  <si>
    <t>Table P3.4
Error (Stored As Text)</t>
  </si>
  <si>
    <t>3rd Instance Row</t>
  </si>
  <si>
    <t>Identical Method(s)</t>
  </si>
  <si>
    <t>Symbol</t>
  </si>
  <si>
    <t>!</t>
  </si>
  <si>
    <t>"</t>
  </si>
  <si>
    <t>#</t>
  </si>
  <si>
    <t>$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</si>
  <si>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</si>
  <si>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</si>
  <si>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</si>
  <si>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</si>
  <si>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</si>
  <si>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</si>
  <si>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</si>
  <si>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</si>
  <si>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</si>
  <si>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</si>
  <si>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</si>
  <si>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</si>
  <si>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</si>
  <si>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</si>
  <si>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</si>
  <si>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</si>
  <si>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</si>
  <si>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</si>
  <si>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</si>
  <si>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</si>
  <si>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</si>
  <si>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</si>
  <si>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</si>
  <si>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</si>
  <si>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</si>
  <si>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</si>
  <si>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</si>
  <si>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</si>
  <si>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</si>
  <si>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</si>
  <si>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</si>
  <si>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</si>
  <si>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</si>
  <si>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</si>
  <si>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</si>
  <si>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</si>
  <si>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</si>
  <si>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</si>
  <si>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</si>
  <si>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</si>
  <si>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</si>
  <si>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</si>
  <si>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</si>
  <si>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</si>
  <si>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</si>
  <si>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</si>
  <si>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</si>
  <si>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</si>
  <si>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</si>
  <si>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</si>
  <si>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</si>
  <si>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</si>
  <si>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</si>
  <si>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</si>
  <si>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</si>
  <si>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</si>
  <si>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</si>
  <si>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</si>
  <si>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</si>
  <si>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</si>
  <si>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</si>
  <si>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</si>
  <si>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</si>
  <si>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</si>
  <si>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</si>
  <si>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</si>
  <si>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</si>
  <si>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</si>
  <si>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</si>
  <si>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</si>
  <si>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</si>
  <si>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</si>
  <si>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</si>
  <si>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€</t>
  </si>
  <si>
    <t>‚</t>
  </si>
  <si>
    <t>ƒ</t>
  </si>
  <si>
    <t>„</t>
  </si>
  <si>
    <t>…</t>
  </si>
  <si>
    <t>†</t>
  </si>
  <si>
    <t>‡</t>
  </si>
  <si>
    <t>ˆ</t>
  </si>
  <si>
    <t>‰</t>
  </si>
  <si>
    <t>Š</t>
  </si>
  <si>
    <t>‹</t>
  </si>
  <si>
    <t>Œ</t>
  </si>
  <si>
    <t>Ž</t>
  </si>
  <si>
    <t>‘</t>
  </si>
  <si>
    <t>’</t>
  </si>
  <si>
    <t>“</t>
  </si>
  <si>
    <t>”</t>
  </si>
  <si>
    <t>•</t>
  </si>
  <si>
    <t>–</t>
  </si>
  <si>
    <t>—</t>
  </si>
  <si>
    <t>˜</t>
  </si>
  <si>
    <t>™</t>
  </si>
  <si>
    <t>š</t>
  </si>
  <si>
    <t>›</t>
  </si>
  <si>
    <t>œ</t>
  </si>
  <si>
    <t>ž</t>
  </si>
  <si>
    <t>Ÿ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</si>
  <si>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</si>
  <si>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</si>
  <si>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</si>
  <si>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</si>
  <si>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</si>
  <si>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</si>
  <si>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</si>
  <si>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</si>
  <si>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</si>
  <si>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</si>
  <si>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</si>
  <si>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</si>
  <si>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</si>
  <si>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</si>
  <si>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</si>
  <si>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</si>
  <si>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</si>
  <si>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</si>
  <si>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</si>
  <si>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</si>
  <si>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</si>
  <si>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</si>
  <si>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</si>
  <si>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</si>
  <si>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</si>
  <si>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</si>
  <si>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</si>
  <si>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</si>
  <si>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</si>
  <si>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</si>
  <si>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</si>
  <si>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</si>
  <si>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</si>
  <si>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</si>
  <si>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</si>
  <si>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</si>
  <si>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</si>
  <si>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</si>
  <si>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</si>
  <si>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</si>
  <si>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</si>
  <si>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</si>
  <si>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</si>
  <si>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</si>
  <si>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</si>
  <si>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</si>
  <si>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</si>
  <si>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</si>
  <si>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</si>
  <si>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</si>
  <si>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</si>
  <si>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</si>
  <si>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</si>
  <si>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</si>
  <si>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</si>
  <si>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</si>
  <si>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</si>
  <si>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</si>
  <si>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</si>
  <si>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</si>
  <si>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</si>
  <si>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</si>
  <si>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</si>
  <si>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</si>
  <si>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</si>
  <si>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</si>
  <si>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</si>
  <si>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</si>
  <si>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</si>
  <si>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</si>
  <si>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</si>
  <si>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</si>
  <si>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</si>
  <si>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</si>
  <si>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</si>
  <si>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</si>
  <si>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</si>
  <si>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</si>
  <si>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</si>
  <si>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</si>
  <si>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</si>
  <si>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</si>
  <si>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</si>
  <si>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</si>
  <si>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</si>
  <si>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</si>
  <si>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</si>
  <si>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</si>
  <si>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ù</t>
  </si>
  <si>
    <t>ú</t>
  </si>
  <si>
    <t>û</t>
  </si>
  <si>
    <t>ü</t>
  </si>
  <si>
    <t>ý</t>
  </si>
  <si>
    <t>þ</t>
  </si>
  <si>
    <t>FF</t>
  </si>
  <si>
    <t>ÿ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</si>
  <si>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</si>
  <si>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</si>
  <si>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</si>
  <si>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</si>
  <si>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</si>
  <si>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</si>
  <si>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</si>
  <si>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</si>
  <si>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</si>
  <si>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</si>
  <si>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LF</t>
  </si>
  <si>
    <t>VT</t>
  </si>
  <si>
    <t>CR</t>
  </si>
  <si>
    <t>SO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</si>
  <si>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</si>
  <si>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</si>
  <si>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</si>
  <si>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</si>
  <si>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</si>
  <si>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</si>
  <si>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</si>
  <si>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</si>
  <si>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</si>
  <si>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</si>
  <si>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</si>
  <si>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SUB</t>
  </si>
  <si>
    <t>ESC</t>
  </si>
  <si>
    <t>FS</t>
  </si>
  <si>
    <t>GS</t>
  </si>
  <si>
    <t>RS</t>
  </si>
  <si>
    <t>US</t>
  </si>
  <si>
    <t>Code</t>
  </si>
  <si>
    <t>Excel Characters
Sorted by Code</t>
  </si>
  <si>
    <t>Table P2E.3
Excel Characters
Sorted by Code</t>
  </si>
  <si>
    <t>Table P2E.1</t>
  </si>
  <si>
    <t>Decimal</t>
  </si>
  <si>
    <t>Character</t>
  </si>
  <si>
    <t>Original ASCII
Sorted by Decimal</t>
  </si>
  <si>
    <t>Excel Conversion</t>
  </si>
  <si>
    <t>Table P2E.2
Excel Characters
Sorted by Code</t>
  </si>
  <si>
    <t>Excel Characters
Sorted by Character</t>
  </si>
  <si>
    <t>Code
(Based on Symbol)</t>
  </si>
  <si>
    <t>Code 2
(Based on Character)</t>
  </si>
  <si>
    <t>Example Formula
(Based on Blank Column)</t>
  </si>
  <si>
    <t>Table P2E.4
Excel Characters
Sorted by Code</t>
  </si>
  <si>
    <t>Excel Characters
Examples</t>
  </si>
  <si>
    <t>Condition</t>
  </si>
  <si>
    <t># &gt; #</t>
  </si>
  <si>
    <t>Code &gt; Code</t>
  </si>
  <si>
    <t>a &gt; A</t>
  </si>
  <si>
    <t>a = A</t>
  </si>
  <si>
    <t>@ &gt; ?</t>
  </si>
  <si>
    <t>— &gt; &amp;</t>
  </si>
  <si>
    <t>Result</t>
  </si>
  <si>
    <t>Description</t>
  </si>
  <si>
    <t>Null char</t>
  </si>
  <si>
    <t>Start of Heading</t>
  </si>
  <si>
    <t>Start of Text</t>
  </si>
  <si>
    <t>End of Text</t>
  </si>
  <si>
    <t>End of Transmission</t>
  </si>
  <si>
    <t>Enquiry</t>
  </si>
  <si>
    <t>Acknowledgment</t>
  </si>
  <si>
    <t>Bell</t>
  </si>
  <si>
    <t>Back Space</t>
  </si>
  <si>
    <t>Horizontal Tab</t>
  </si>
  <si>
    <t>Line Feed</t>
  </si>
  <si>
    <t>Vertical Tab</t>
  </si>
  <si>
    <t>Form Feed</t>
  </si>
  <si>
    <t>Carriage Return</t>
  </si>
  <si>
    <t>Shift Out / X-On</t>
  </si>
  <si>
    <t>Shift In / X-Off</t>
  </si>
  <si>
    <t>Data Line Escape</t>
  </si>
  <si>
    <t>Device Control 1 (oft. XON)</t>
  </si>
  <si>
    <t>Device Control 2</t>
  </si>
  <si>
    <t>Device Control 3 (oft. XOFF)</t>
  </si>
  <si>
    <t>Device Control 4</t>
  </si>
  <si>
    <t>Negative Acknowledgement</t>
  </si>
  <si>
    <t>Synchronous Idle</t>
  </si>
  <si>
    <t>End of Transmit Block</t>
  </si>
  <si>
    <t>Cancel</t>
  </si>
  <si>
    <t>End of Medium</t>
  </si>
  <si>
    <t>Substitute</t>
  </si>
  <si>
    <t>Escape</t>
  </si>
  <si>
    <t>File Separator</t>
  </si>
  <si>
    <t>Group Separator</t>
  </si>
  <si>
    <t>Record Separator</t>
  </si>
  <si>
    <t>Unit Separator</t>
  </si>
  <si>
    <t>Space</t>
  </si>
  <si>
    <t>Exclamation mark</t>
  </si>
  <si>
    <t>Double quotes (or speech marks)</t>
  </si>
  <si>
    <t>Dollar</t>
  </si>
  <si>
    <t>Per cent sign</t>
  </si>
  <si>
    <t>Ampersand</t>
  </si>
  <si>
    <t>Single quote</t>
  </si>
  <si>
    <t>Open parenthesis (or open bracket)</t>
  </si>
  <si>
    <t>Close parenthesis (or close bracket)</t>
  </si>
  <si>
    <t>Asterisk</t>
  </si>
  <si>
    <t>Plus</t>
  </si>
  <si>
    <t>Comma</t>
  </si>
  <si>
    <t>Hyphen</t>
  </si>
  <si>
    <t>Period, dot or full stop</t>
  </si>
  <si>
    <t>Slash or divide</t>
  </si>
  <si>
    <t>Zero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</si>
  <si>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</si>
  <si>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</si>
  <si>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</si>
  <si>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</si>
  <si>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</si>
  <si>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</si>
  <si>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</si>
  <si>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</si>
  <si>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</si>
  <si>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Colon</t>
  </si>
  <si>
    <t>Semicolon</t>
  </si>
  <si>
    <t>Less than (or open angled bracket)</t>
  </si>
  <si>
    <t>Equals</t>
  </si>
  <si>
    <t>Greater than (or close angled bracket)</t>
  </si>
  <si>
    <t>Question mark</t>
  </si>
  <si>
    <t>At symbol</t>
  </si>
  <si>
    <t>Uppercase A</t>
  </si>
  <si>
    <t>Uppercase B</t>
  </si>
  <si>
    <t>Uppercase C</t>
  </si>
  <si>
    <t>Uppercase D</t>
  </si>
  <si>
    <t>Uppercase E</t>
  </si>
  <si>
    <t>Uppercase F</t>
  </si>
  <si>
    <t>Uppercase G</t>
  </si>
  <si>
    <t>Uppercase H</t>
  </si>
  <si>
    <t>Uppercase I</t>
  </si>
  <si>
    <t>Uppercase J</t>
  </si>
  <si>
    <t>Uppercase K</t>
  </si>
  <si>
    <t>Uppercase L</t>
  </si>
  <si>
    <t>Uppercase M</t>
  </si>
  <si>
    <t>Uppercase N</t>
  </si>
  <si>
    <t>Uppercase O</t>
  </si>
  <si>
    <t>Uppercase P</t>
  </si>
  <si>
    <t>Uppercase Q</t>
  </si>
  <si>
    <t>Uppercase R</t>
  </si>
  <si>
    <t>Uppercase S</t>
  </si>
  <si>
    <t>Uppercase T</t>
  </si>
  <si>
    <t>Uppercase U</t>
  </si>
  <si>
    <t>Uppercase V</t>
  </si>
  <si>
    <t>Uppercase W</t>
  </si>
  <si>
    <t>Uppercase X</t>
  </si>
  <si>
    <t>Uppercase Y</t>
  </si>
  <si>
    <t>Uppercase Z</t>
  </si>
  <si>
    <t>Opening bracket</t>
  </si>
  <si>
    <t>Backslash</t>
  </si>
  <si>
    <t>Closing bracket</t>
  </si>
  <si>
    <t>Caret - circumflex</t>
  </si>
  <si>
    <t>Underscore</t>
  </si>
  <si>
    <t>Grave accent</t>
  </si>
  <si>
    <t>Lowercase a</t>
  </si>
  <si>
    <t>Lowercase b</t>
  </si>
  <si>
    <t>Lowercase c</t>
  </si>
  <si>
    <t>Lowercase d</t>
  </si>
  <si>
    <t>Lowercase e</t>
  </si>
  <si>
    <t>Lowercase f</t>
  </si>
  <si>
    <t>Lowercase g</t>
  </si>
  <si>
    <t>Lowercase h</t>
  </si>
  <si>
    <t>Lowercase i</t>
  </si>
  <si>
    <t>Lowercase j</t>
  </si>
  <si>
    <t>Lowercase k</t>
  </si>
  <si>
    <t>Lowercase l</t>
  </si>
  <si>
    <t>Lowercase m</t>
  </si>
  <si>
    <t>Lowercase n</t>
  </si>
  <si>
    <t>Lowercase o</t>
  </si>
  <si>
    <t>Lowercase p</t>
  </si>
  <si>
    <t>Lowercase q</t>
  </si>
  <si>
    <t>Lowercase r</t>
  </si>
  <si>
    <t>Lowercase s</t>
  </si>
  <si>
    <t>Lowercase t</t>
  </si>
  <si>
    <t>Lowercase u</t>
  </si>
  <si>
    <t>Lowercase v</t>
  </si>
  <si>
    <t>Lowercase w</t>
  </si>
  <si>
    <t>Lowercase x</t>
  </si>
  <si>
    <t>Lowercase y</t>
  </si>
  <si>
    <t>Lowercase z</t>
  </si>
  <si>
    <t>Opening brace</t>
  </si>
  <si>
    <t>Vertical bar</t>
  </si>
  <si>
    <t>Closing brace</t>
  </si>
  <si>
    <t>Equivalency sign - tilde</t>
  </si>
  <si>
    <t>Delete</t>
  </si>
  <si>
    <t>Euro sign</t>
  </si>
  <si>
    <t>Single low-9 quotation mark</t>
  </si>
  <si>
    <t>Latin small letter f with hook</t>
  </si>
  <si>
    <t>Double low-9 quotation mark</t>
  </si>
  <si>
    <t>Horizontal ellipsis</t>
  </si>
  <si>
    <t>Dagger</t>
  </si>
  <si>
    <t>Double dagger</t>
  </si>
  <si>
    <t>Modifier letter circumflex accent</t>
  </si>
  <si>
    <t>Per mille sign</t>
  </si>
  <si>
    <t>Latin capital letter S with caron</t>
  </si>
  <si>
    <t>Single left-pointing angle quotation</t>
  </si>
  <si>
    <t>Latin capital ligature OE</t>
  </si>
  <si>
    <t>Latin capital letter Z with caron</t>
  </si>
  <si>
    <t>Left single quotation mark</t>
  </si>
  <si>
    <t>Right single quotation mark</t>
  </si>
  <si>
    <t>Left double quotation mark</t>
  </si>
  <si>
    <t>Right double quotation mark</t>
  </si>
  <si>
    <t>Bullet</t>
  </si>
  <si>
    <t>En dash</t>
  </si>
  <si>
    <t>Em dash</t>
  </si>
  <si>
    <t>Small tilde</t>
  </si>
  <si>
    <t>Trade mark sign</t>
  </si>
  <si>
    <t>Latin small letter S with caron</t>
  </si>
  <si>
    <t>Single right-pointing angle quotation mark</t>
  </si>
  <si>
    <t>Latin small ligature oe</t>
  </si>
  <si>
    <t>Latin small letter z with caron</t>
  </si>
  <si>
    <t>Latin capital letter Y with diaeresis</t>
  </si>
  <si>
    <t>Non-breaking space</t>
  </si>
  <si>
    <t>Inverted exclamation mark</t>
  </si>
  <si>
    <t>Cent sign</t>
  </si>
  <si>
    <t>Pound sign</t>
  </si>
  <si>
    <t>Currency sign</t>
  </si>
  <si>
    <t>Yen sign</t>
  </si>
  <si>
    <t>Pipe, Broken vertical bar</t>
  </si>
  <si>
    <t>Section sign</t>
  </si>
  <si>
    <t>Spacing diaeresis - umlaut</t>
  </si>
  <si>
    <t>Copyright sign</t>
  </si>
  <si>
    <t>Feminine ordinal indicator</t>
  </si>
  <si>
    <t>Left double angle quotes</t>
  </si>
  <si>
    <t>Not sign</t>
  </si>
  <si>
    <t>Soft hyphen</t>
  </si>
  <si>
    <t>Registered trade mark sign</t>
  </si>
  <si>
    <t>Spacing macron - overline</t>
  </si>
  <si>
    <t>Degree sign</t>
  </si>
  <si>
    <t>Plus-or-minus sign</t>
  </si>
  <si>
    <t>Superscript two - squared</t>
  </si>
  <si>
    <t>Superscript three - cubed</t>
  </si>
  <si>
    <t>Acute accent - spacing acute</t>
  </si>
  <si>
    <t>Micro sign</t>
  </si>
  <si>
    <t>Pilcrow sign - paragraph sign</t>
  </si>
  <si>
    <t>Middle dot - Georgian comma</t>
  </si>
  <si>
    <t>Spacing cedilla</t>
  </si>
  <si>
    <t>Superscript one</t>
  </si>
  <si>
    <t>Masculine ordinal indicator</t>
  </si>
  <si>
    <t>Right double angle quotes</t>
  </si>
  <si>
    <t>Fraction one quarter</t>
  </si>
  <si>
    <t>Fraction one half</t>
  </si>
  <si>
    <t>Fraction three quarters</t>
  </si>
  <si>
    <t>Inverted question mark</t>
  </si>
  <si>
    <t>Latin capital letter A with grave</t>
  </si>
  <si>
    <t>Latin capital letter A with acute</t>
  </si>
  <si>
    <t>Latin capital letter A with circumflex</t>
  </si>
  <si>
    <t>Latin capital letter A with tilde</t>
  </si>
  <si>
    <t>Latin capital letter A with diaeresis</t>
  </si>
  <si>
    <t>Latin capital letter A with ring above</t>
  </si>
  <si>
    <t>Latin capital letter AE</t>
  </si>
  <si>
    <t>Latin capital letter C with cedilla</t>
  </si>
  <si>
    <t>Latin capital letter E with grave</t>
  </si>
  <si>
    <t>Latin capital letter E with acute</t>
  </si>
  <si>
    <t>Latin capital letter E with circumflex</t>
  </si>
  <si>
    <t>Latin capital letter E with diaeresis</t>
  </si>
  <si>
    <t>Latin capital letter I with grave</t>
  </si>
  <si>
    <t>Latin capital letter I with acute</t>
  </si>
  <si>
    <t>Latin capital letter I with circumflex</t>
  </si>
  <si>
    <t>Latin capital letter I with diaeresis</t>
  </si>
  <si>
    <t>Latin capital letter ETH</t>
  </si>
  <si>
    <t>Latin capital letter N with tilde</t>
  </si>
  <si>
    <t>Latin capital letter O with grave</t>
  </si>
  <si>
    <t>Latin capital letter O with acute</t>
  </si>
  <si>
    <t>Latin capital letter O with circumflex</t>
  </si>
  <si>
    <t>Latin capital letter O with tilde</t>
  </si>
  <si>
    <t>Latin capital letter O with diaeresis</t>
  </si>
  <si>
    <t>Multiplication sign</t>
  </si>
  <si>
    <t>Latin capital letter O with slash</t>
  </si>
  <si>
    <t>Latin capital letter U with grave</t>
  </si>
  <si>
    <t>Latin capital letter U with acute</t>
  </si>
  <si>
    <t>Latin capital letter U with circumflex</t>
  </si>
  <si>
    <t>Latin capital letter U with diaeresis</t>
  </si>
  <si>
    <t>Latin capital letter Y with acute</t>
  </si>
  <si>
    <t>Latin capital letter THORN</t>
  </si>
  <si>
    <t>Latin small letter sharp s - ess-zed</t>
  </si>
  <si>
    <t>Latin small letter a with grave</t>
  </si>
  <si>
    <t>Latin small letter a with acute</t>
  </si>
  <si>
    <t>Latin small letter a with circumflex</t>
  </si>
  <si>
    <t>Latin small letter a with tilde</t>
  </si>
  <si>
    <t>Latin small letter a with diaeresis</t>
  </si>
  <si>
    <t>Latin small letter a with ring above</t>
  </si>
  <si>
    <t>Latin small letter ae</t>
  </si>
  <si>
    <t>Latin small letter c with cedilla</t>
  </si>
  <si>
    <t>Latin small letter e with grave</t>
  </si>
  <si>
    <t>Latin small letter e with acute</t>
  </si>
  <si>
    <t>Latin small letter e with circumflex</t>
  </si>
  <si>
    <t>Latin small letter e with diaeresis</t>
  </si>
  <si>
    <t>Latin small letter i with grave</t>
  </si>
  <si>
    <t>Latin small letter i with acute</t>
  </si>
  <si>
    <t>Latin small letter i with circumflex</t>
  </si>
  <si>
    <t>Latin small letter i with diaeresis</t>
  </si>
  <si>
    <t>Latin small letter eth</t>
  </si>
  <si>
    <t>Latin small letter n with tilde</t>
  </si>
  <si>
    <t>Latin small letter o with grave</t>
  </si>
  <si>
    <t>Latin small letter o with acute</t>
  </si>
  <si>
    <t>Latin small letter o with circumflex</t>
  </si>
  <si>
    <t>Latin small letter o with tilde</t>
  </si>
  <si>
    <t>Latin small letter o with diaeresis</t>
  </si>
  <si>
    <t>Division sign</t>
  </si>
  <si>
    <t>Latin small letter o with slash</t>
  </si>
  <si>
    <t>Latin small letter u with grave</t>
  </si>
  <si>
    <t>Latin small letter u with acute</t>
  </si>
  <si>
    <t>Latin small letter u with circumflex</t>
  </si>
  <si>
    <t>Latin small letter u with diaeresis</t>
  </si>
  <si>
    <t>Latin small letter y with acute</t>
  </si>
  <si>
    <t>Latin small letter thorn</t>
  </si>
  <si>
    <t>Latin small letter y with diaeresis</t>
  </si>
  <si>
    <t>1 &gt; A</t>
  </si>
  <si>
    <t/>
  </si>
  <si>
    <t>? &gt; !</t>
  </si>
  <si>
    <t>+ &gt; [</t>
  </si>
  <si>
    <t>Error</t>
  </si>
  <si>
    <t>Apostrophe</t>
  </si>
  <si>
    <t xml:space="preserve"> Apostrophe</t>
  </si>
  <si>
    <t>Part 2 Extras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</si>
</sst>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"/>
  </numFmts>
  <fonts count="17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rgb="FF212529"/>
      <name val="Segoe UI"/>
      <family val="2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21252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2FBB6D"/>
        <bgColor indexed="64"/>
      </patternFill>
    </fill>
    <fill>
      <patternFill patternType="solid">
        <fgColor rgb="FF209553"/>
        <bgColor indexed="64"/>
      </patternFill>
    </fill>
    <fill>
      <patternFill patternType="solid">
        <fgColor rgb="FF146B32"/>
        <bgColor indexed="64"/>
      </patternFill>
    </fill>
    <fill>
      <patternFill patternType="solid">
        <fgColor rgb="FF154B29"/>
        <bgColor indexed="64"/>
      </patternFill>
    </fill>
    <fill>
      <gradientFill degree="90">
        <stop position="0">
          <color rgb="FF2FBB6D"/>
        </stop>
        <stop position="1">
          <color rgb="FF154B29"/>
        </stop>
      </gradientFill>
    </fill>
    <fill>
      <gradientFill degree="90">
        <stop position="0">
          <color rgb="FF2FBB6D"/>
        </stop>
        <stop position="1">
          <color rgb="FF146B32"/>
        </stop>
      </gradientFill>
    </fill>
    <fill>
      <gradientFill degree="90">
        <stop position="0">
          <color rgb="FF2FBB6D"/>
        </stop>
        <stop position="1">
          <color rgb="FF209553"/>
        </stop>
      </gradient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indexed="6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2499465926084170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ck">
        <color auto="1"/>
      </left>
      <right/>
      <top/>
      <bottom/>
      <diagonal/>
    </border>
    <border>
      <left style="thin">
        <color theme="1" tint="0.24994659260841701"/>
      </left>
      <right/>
      <top/>
      <bottom style="thin">
        <color theme="1" tint="0.24994659260841701"/>
      </bottom>
      <diagonal/>
    </border>
    <border>
      <left style="thick">
        <color auto="1"/>
      </left>
      <right/>
      <top/>
      <bottom style="thin">
        <color theme="1" tint="0.24994659260841701"/>
      </bottom>
      <diagonal/>
    </border>
    <border>
      <left style="thin">
        <color indexed="64"/>
      </left>
      <right/>
      <top style="thin">
        <color theme="1" tint="0.24994659260841701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theme="1" tint="0.24994659260841701"/>
      </left>
      <right style="thin">
        <color indexed="64"/>
      </right>
      <top style="thin">
        <color theme="1" tint="0.24994659260841701"/>
      </top>
      <bottom style="thin">
        <color theme="1" tint="0.24994659260841701"/>
      </bottom>
      <diagonal/>
    </border>
  </borders>
  <cellStyleXfs count="4">
    <xf numFmtId="0" fontId="0" fillId="0" borderId="0"/>
    <xf numFmtId="0" fontId="7" fillId="6" borderId="1" applyNumberFormat="0" applyProtection="0">
      <alignment horizontal="center" vertical="center"/>
    </xf>
    <xf numFmtId="0" fontId="9" fillId="7" borderId="1" applyAlignment="0" applyProtection="0"/>
    <xf numFmtId="0" fontId="10" fillId="8" borderId="1" applyAlignment="0" applyProtection="0"/>
  </cellStyleXfs>
  <cellXfs count="10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8" borderId="1" xfId="3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0" fillId="8" borderId="3" xfId="3" applyBorder="1" applyAlignment="1">
      <alignment horizontal="center" vertical="center"/>
    </xf>
    <xf numFmtId="0" fontId="10" fillId="8" borderId="2" xfId="3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8" borderId="5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2" xfId="0" quotePrefix="1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horizontal="center" vertical="center"/>
    </xf>
    <xf numFmtId="0" fontId="10" fillId="8" borderId="1" xfId="3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8" borderId="5" xfId="3" applyBorder="1" applyAlignment="1">
      <alignment horizontal="center" vertical="center" wrapText="1"/>
    </xf>
    <xf numFmtId="0" fontId="10" fillId="8" borderId="2" xfId="3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8" fillId="0" borderId="0" xfId="0" applyFont="1" applyAlignment="1">
      <alignment vertical="center"/>
    </xf>
    <xf numFmtId="49" fontId="4" fillId="0" borderId="2" xfId="0" quotePrefix="1" applyNumberFormat="1" applyFont="1" applyFill="1" applyBorder="1" applyAlignment="1">
      <alignment horizontal="center" vertical="center"/>
    </xf>
    <xf numFmtId="0" fontId="9" fillId="0" borderId="0" xfId="2" applyFill="1" applyBorder="1" applyAlignment="1">
      <alignment vertical="center"/>
    </xf>
    <xf numFmtId="14" fontId="0" fillId="0" borderId="0" xfId="0" applyNumberFormat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0" applyBorder="1"/>
    <xf numFmtId="164" fontId="6" fillId="0" borderId="2" xfId="0" applyNumberFormat="1" applyFont="1" applyFill="1" applyBorder="1" applyAlignment="1">
      <alignment horizontal="center" vertical="center"/>
    </xf>
    <xf numFmtId="164" fontId="6" fillId="0" borderId="2" xfId="0" quotePrefix="1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Border="1"/>
    <xf numFmtId="0" fontId="11" fillId="0" borderId="0" xfId="0" applyFont="1" applyAlignment="1">
      <alignment horizontal="center" vertical="center"/>
    </xf>
    <xf numFmtId="0" fontId="13" fillId="9" borderId="0" xfId="0" applyFont="1" applyFill="1" applyAlignment="1">
      <alignment horizontal="center" vertical="top" wrapText="1"/>
    </xf>
    <xf numFmtId="0" fontId="0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4" fillId="0" borderId="0" xfId="0" applyFont="1"/>
    <xf numFmtId="0" fontId="0" fillId="0" borderId="2" xfId="0" applyFill="1" applyBorder="1" applyAlignment="1">
      <alignment horizontal="center" vertical="center"/>
    </xf>
    <xf numFmtId="0" fontId="15" fillId="0" borderId="0" xfId="0" quotePrefix="1" applyFont="1" applyFill="1" applyAlignment="1">
      <alignment horizontal="center" vertical="center"/>
    </xf>
    <xf numFmtId="0" fontId="10" fillId="8" borderId="12" xfId="3" applyBorder="1" applyAlignment="1">
      <alignment horizontal="center" vertical="center" wrapText="1"/>
    </xf>
    <xf numFmtId="0" fontId="10" fillId="8" borderId="14" xfId="3" applyBorder="1" applyAlignment="1">
      <alignment horizontal="center" vertical="center"/>
    </xf>
    <xf numFmtId="0" fontId="10" fillId="8" borderId="1" xfId="3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8" borderId="15" xfId="3" applyBorder="1" applyAlignment="1">
      <alignment horizontal="center" vertical="center" wrapText="1"/>
    </xf>
    <xf numFmtId="0" fontId="13" fillId="9" borderId="0" xfId="0" applyFont="1" applyFill="1" applyAlignment="1">
      <alignment horizontal="left" vertical="top" wrapText="1"/>
    </xf>
    <xf numFmtId="0" fontId="0" fillId="0" borderId="16" xfId="0" applyFill="1" applyBorder="1" applyAlignment="1">
      <alignment horizontal="center" vertical="center"/>
    </xf>
    <xf numFmtId="0" fontId="13" fillId="0" borderId="0" xfId="0" applyFont="1"/>
    <xf numFmtId="0" fontId="0" fillId="0" borderId="8" xfId="0" applyFill="1" applyBorder="1" applyAlignment="1">
      <alignment horizontal="center" vertical="center"/>
    </xf>
    <xf numFmtId="0" fontId="10" fillId="8" borderId="1" xfId="3" applyFont="1" applyAlignment="1">
      <alignment horizontal="center" vertical="center"/>
    </xf>
    <xf numFmtId="0" fontId="10" fillId="8" borderId="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9" borderId="2" xfId="0" applyFont="1" applyFill="1" applyBorder="1" applyAlignment="1">
      <alignment horizontal="center" vertical="top" wrapText="1"/>
    </xf>
    <xf numFmtId="0" fontId="0" fillId="0" borderId="2" xfId="0" applyBorder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quotePrefix="1" applyAlignment="1">
      <alignment vertical="center"/>
    </xf>
    <xf numFmtId="0" fontId="3" fillId="0" borderId="2" xfId="0" applyNumberFormat="1" applyFont="1" applyFill="1" applyBorder="1" applyAlignment="1">
      <alignment horizontal="center" vertical="center"/>
    </xf>
    <xf numFmtId="0" fontId="2" fillId="0" borderId="2" xfId="0" quotePrefix="1" applyNumberFormat="1" applyFont="1" applyFill="1" applyBorder="1" applyAlignment="1">
      <alignment horizontal="center" vertical="center"/>
    </xf>
    <xf numFmtId="0" fontId="6" fillId="0" borderId="2" xfId="0" quotePrefix="1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>
      <alignment horizontal="center" vertical="center"/>
    </xf>
    <xf numFmtId="49" fontId="1" fillId="0" borderId="2" xfId="0" applyNumberFormat="1" applyFont="1" applyFill="1" applyBorder="1" applyAlignment="1">
      <alignment horizontal="center" vertical="center"/>
    </xf>
    <xf numFmtId="1" fontId="6" fillId="0" borderId="2" xfId="0" applyNumberFormat="1" applyFont="1" applyFill="1" applyBorder="1" applyAlignment="1">
      <alignment horizontal="center" vertical="center"/>
    </xf>
    <xf numFmtId="1" fontId="6" fillId="0" borderId="2" xfId="0" quotePrefix="1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0" fillId="8" borderId="19" xfId="3" applyBorder="1" applyAlignment="1">
      <alignment horizontal="center" vertical="center"/>
    </xf>
    <xf numFmtId="0" fontId="9" fillId="0" borderId="0" xfId="2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" fillId="6" borderId="0" xfId="1" applyBorder="1">
      <alignment horizontal="center" vertical="center"/>
    </xf>
    <xf numFmtId="0" fontId="9" fillId="7" borderId="4" xfId="2" applyBorder="1" applyAlignment="1">
      <alignment horizontal="center" vertical="center" wrapText="1"/>
    </xf>
    <xf numFmtId="0" fontId="9" fillId="7" borderId="0" xfId="2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9" fillId="7" borderId="0" xfId="2" applyBorder="1" applyAlignment="1">
      <alignment horizontal="center" vertical="center" wrapText="1"/>
    </xf>
    <xf numFmtId="0" fontId="7" fillId="6" borderId="0" xfId="1" applyBorder="1" applyAlignment="1">
      <alignment horizontal="center" vertical="center"/>
    </xf>
    <xf numFmtId="0" fontId="10" fillId="8" borderId="9" xfId="3" applyBorder="1" applyAlignment="1">
      <alignment horizontal="center" vertical="center" wrapText="1"/>
    </xf>
    <xf numFmtId="0" fontId="10" fillId="8" borderId="3" xfId="3" applyBorder="1" applyAlignment="1">
      <alignment horizontal="center" vertical="center" wrapText="1"/>
    </xf>
    <xf numFmtId="0" fontId="10" fillId="8" borderId="17" xfId="3" applyBorder="1" applyAlignment="1">
      <alignment horizontal="center" vertical="center" wrapText="1"/>
    </xf>
    <xf numFmtId="0" fontId="10" fillId="8" borderId="0" xfId="3" applyBorder="1" applyAlignment="1">
      <alignment horizontal="center" vertical="center" wrapText="1"/>
    </xf>
    <xf numFmtId="0" fontId="10" fillId="8" borderId="18" xfId="3" applyBorder="1" applyAlignment="1">
      <alignment horizontal="center" vertical="center" wrapText="1"/>
    </xf>
    <xf numFmtId="0" fontId="9" fillId="7" borderId="6" xfId="2" applyBorder="1" applyAlignment="1">
      <alignment horizontal="center" vertical="center" wrapText="1"/>
    </xf>
    <xf numFmtId="0" fontId="10" fillId="8" borderId="6" xfId="3" applyBorder="1" applyAlignment="1">
      <alignment horizontal="center" vertical="center" wrapText="1"/>
    </xf>
    <xf numFmtId="0" fontId="10" fillId="8" borderId="15" xfId="3" applyBorder="1" applyAlignment="1">
      <alignment horizontal="center" vertical="center" wrapText="1"/>
    </xf>
    <xf numFmtId="0" fontId="10" fillId="8" borderId="11" xfId="3" applyBorder="1" applyAlignment="1">
      <alignment horizontal="center" vertical="center" wrapText="1"/>
    </xf>
    <xf numFmtId="0" fontId="10" fillId="8" borderId="5" xfId="3" applyBorder="1" applyAlignment="1">
      <alignment horizontal="center" vertical="center" wrapText="1"/>
    </xf>
    <xf numFmtId="0" fontId="10" fillId="8" borderId="12" xfId="3" applyBorder="1" applyAlignment="1">
      <alignment horizontal="center" vertical="center" wrapText="1"/>
    </xf>
    <xf numFmtId="0" fontId="9" fillId="7" borderId="5" xfId="2" applyBorder="1" applyAlignment="1">
      <alignment horizontal="center" vertical="center" wrapText="1"/>
    </xf>
    <xf numFmtId="0" fontId="9" fillId="7" borderId="12" xfId="2" applyBorder="1" applyAlignment="1">
      <alignment horizontal="center" vertical="center" wrapText="1"/>
    </xf>
    <xf numFmtId="0" fontId="9" fillId="7" borderId="1" xfId="2" applyAlignment="1">
      <alignment horizontal="center" vertical="center" wrapText="1"/>
    </xf>
    <xf numFmtId="0" fontId="9" fillId="7" borderId="1" xfId="2" applyAlignment="1">
      <alignment horizontal="center" vertical="center"/>
    </xf>
  </cellXfs>
  <cellStyles count="4">
    <cellStyle name="Heading 1 2" xfId="1" xr:uid="{71985F7C-9E2D-4A39-ACED-7A4A3C73614A}"/>
    <cellStyle name="Normal" xfId="0" builtinId="0"/>
    <cellStyle name="Sub Headings" xfId="2" xr:uid="{00FD57D6-1AAC-40F7-B1C4-D031587333EC}"/>
    <cellStyle name="Sub Headings 2" xfId="3" xr:uid="{77E586F8-8A31-4D7E-9142-8213C706C592}"/>
  </cellStyles>
  <dxfs count="16">
    <dxf>
      <font>
        <color auto="1"/>
      </font>
      <fill>
        <patternFill>
          <bgColor rgb="FFFFB3B3"/>
        </patternFill>
      </fill>
    </dxf>
    <dxf>
      <font>
        <color auto="1"/>
      </font>
      <fill>
        <patternFill>
          <bgColor rgb="FF9BFFC8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B3B3"/>
        </patternFill>
      </fill>
    </dxf>
    <dxf>
      <font>
        <color auto="1"/>
      </font>
      <fill>
        <patternFill>
          <bgColor rgb="FF9BFFC8"/>
        </patternFill>
      </fill>
    </dxf>
    <dxf>
      <font>
        <color auto="1"/>
      </font>
      <fill>
        <patternFill>
          <bgColor rgb="FFFFB3B3"/>
        </patternFill>
      </fill>
    </dxf>
    <dxf>
      <font>
        <color auto="1"/>
      </font>
      <fill>
        <patternFill>
          <bgColor rgb="FF9BFFC8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1" xr9:uid="{9A8441D2-DE18-4ED2-8D2F-B9CD517A2453}">
      <tableStyleElement type="wholeTable" dxfId="15"/>
    </tableStyle>
  </tableStyles>
  <colors>
    <mruColors>
      <color rgb="FF2FBB6D"/>
      <color rgb="FF209553"/>
      <color rgb="FF146B32"/>
      <color rgb="FF154B29"/>
      <color rgb="FFFFB3B3"/>
      <color rgb="FF9BFF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16</xdr:col>
      <xdr:colOff>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5097314-11B3-4B33-A472-737ADD830618}"/>
            </a:ext>
          </a:extLst>
        </xdr:cNvPr>
        <xdr:cNvSpPr txBox="1"/>
      </xdr:nvSpPr>
      <xdr:spPr>
        <a:xfrm>
          <a:off x="381000" y="276226"/>
          <a:ext cx="12353925" cy="476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How Excel Stores and Displays Data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133350</xdr:colOff>
      <xdr:row>5</xdr:row>
      <xdr:rowOff>159427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6612418A-0F34-4149-BE58-03E7C6957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90600" cy="910071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38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DD4A798-FA66-4272-82D1-C82C895F24C6}"/>
            </a:ext>
          </a:extLst>
        </xdr:cNvPr>
        <xdr:cNvSpPr txBox="1"/>
      </xdr:nvSpPr>
      <xdr:spPr>
        <a:xfrm>
          <a:off x="381001" y="7080250"/>
          <a:ext cx="12377208" cy="486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Copyright © 2021 by Andrew Moss. All Rights Reserved.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25</xdr:col>
      <xdr:colOff>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7C3C91-A474-47E7-B26D-4DADF1664CC1}"/>
            </a:ext>
          </a:extLst>
        </xdr:cNvPr>
        <xdr:cNvSpPr txBox="1"/>
      </xdr:nvSpPr>
      <xdr:spPr>
        <a:xfrm>
          <a:off x="381000" y="276226"/>
          <a:ext cx="11811000" cy="476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How Excel Stores and Displays Data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127488</xdr:colOff>
      <xdr:row>5</xdr:row>
      <xdr:rowOff>159427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137E7261-209A-4BBC-8979-39ECCF2ED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84738" cy="911902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36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5B1A920-449B-4743-970F-27F6D759191F}"/>
            </a:ext>
          </a:extLst>
        </xdr:cNvPr>
        <xdr:cNvSpPr txBox="1"/>
      </xdr:nvSpPr>
      <xdr:spPr>
        <a:xfrm>
          <a:off x="381001" y="7767638"/>
          <a:ext cx="11810999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Copyright © 2021 by Andrew Moss. All Rights Reserved.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31</xdr:col>
      <xdr:colOff>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6C7BC5-BD2B-408A-9CD6-DB2010A1CCE6}"/>
            </a:ext>
          </a:extLst>
        </xdr:cNvPr>
        <xdr:cNvSpPr txBox="1"/>
      </xdr:nvSpPr>
      <xdr:spPr>
        <a:xfrm>
          <a:off x="381000" y="276226"/>
          <a:ext cx="18240375" cy="476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How Excel Stores and Displays Data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127488</xdr:colOff>
      <xdr:row>5</xdr:row>
      <xdr:rowOff>159427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60B28C24-D832-446E-A3C5-FF5EE76ED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84738" cy="911902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268</xdr:row>
      <xdr:rowOff>0</xdr:rowOff>
    </xdr:from>
    <xdr:to>
      <xdr:col>31</xdr:col>
      <xdr:colOff>0</xdr:colOff>
      <xdr:row>272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A0DAD94-E83F-4C6C-8F9D-8CC2DCA7300D}"/>
            </a:ext>
          </a:extLst>
        </xdr:cNvPr>
        <xdr:cNvSpPr txBox="1"/>
      </xdr:nvSpPr>
      <xdr:spPr>
        <a:xfrm>
          <a:off x="381001" y="7410450"/>
          <a:ext cx="18240374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Copyright © 2021 by Andrew Moss. All Rights Reserved.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20</xdr:col>
      <xdr:colOff>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DB754B9-1AA4-499E-8FA2-10A208381292}"/>
            </a:ext>
          </a:extLst>
        </xdr:cNvPr>
        <xdr:cNvSpPr txBox="1"/>
      </xdr:nvSpPr>
      <xdr:spPr>
        <a:xfrm>
          <a:off x="381000" y="276226"/>
          <a:ext cx="11434763" cy="476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How Excel Stores and Displays Data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127488</xdr:colOff>
      <xdr:row>5</xdr:row>
      <xdr:rowOff>159427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F2B6B87F-7832-45D9-81C1-9F53C692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84738" cy="911902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26</xdr:row>
      <xdr:rowOff>0</xdr:rowOff>
    </xdr:from>
    <xdr:to>
      <xdr:col>20</xdr:col>
      <xdr:colOff>0</xdr:colOff>
      <xdr:row>30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0CFFFE-ADAD-4AB8-81AD-2A5C59EC670F}"/>
            </a:ext>
          </a:extLst>
        </xdr:cNvPr>
        <xdr:cNvSpPr txBox="1"/>
      </xdr:nvSpPr>
      <xdr:spPr>
        <a:xfrm>
          <a:off x="381001" y="7077075"/>
          <a:ext cx="11434762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Copyright © 2021 by Andrew Moss. All Rights Reserved.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ACM/Medium/9%20-%20LAMBDA%20Function/LAMBDA-Exampl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 1"/>
      <sheetName val="Part 2"/>
      <sheetName val="Part 3"/>
      <sheetName val="LAMBDA-Examples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4E36E1-4920-4A76-BA32-11CE6C6035E8}" name="Table35" displayName="Table35" ref="I11:M267" totalsRowShown="0" dataDxfId="7" headerRowCellStyle="Sub Headings 2">
  <autoFilter ref="I11:M267" xr:uid="{BA141B6A-1C13-4EF7-BA9C-446F3D7F45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3" xr3:uid="{06392A00-9260-4742-B9E3-17ACCAFB6CB9}" name="Decimal" dataDxfId="6"/>
    <tableColumn id="2" xr3:uid="{5F7D1A57-2199-4866-AA30-54522AB2A130}" name="Symbol" dataDxfId="5"/>
    <tableColumn id="4" xr3:uid="{43BE51F2-D085-40D4-857D-1E216641346F}" name="Code_x000a_(Based on Symbol)" dataDxfId="4">
      <calculatedColumnFormula>CODE(J12)</calculatedColumnFormula>
    </tableColumn>
    <tableColumn id="6" xr3:uid="{D4E61A1D-B7C8-4223-A0A9-7484AF265200}" name="Code 2_x000a_(Based on Character)" dataDxfId="3">
      <calculatedColumnFormula>CODE(M12)</calculatedColumnFormula>
    </tableColumn>
    <tableColumn id="1" xr3:uid="{45A482B4-F27A-4C9D-9354-AFC1C83EE464}" name="Character" dataDxfId="2">
      <calculatedColumnFormula>CHAR(Table35[[#This Row],[Decimal]])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46FC-E53C-4F22-945B-2D59B7504D6A}">
  <sheetPr codeName="Sheet2">
    <tabColor rgb="FF154B29"/>
  </sheetPr>
  <dimension ref="A1:XFC1048576"/>
  <sheetViews>
    <sheetView showGridLines="0" tabSelected="1" zoomScaleNormal="100" workbookViewId="0"/>
  </sheetViews>
  <sheetFormatPr defaultColWidth="0" defaultRowHeight="13.15" zeroHeight="1" x14ac:dyDescent="0.4"/>
  <cols>
    <col min="1" max="1" width="5.7109375" style="1" customWidth="1"/>
    <col min="2" max="5" width="1.78515625" style="1" customWidth="1"/>
    <col min="6" max="7" width="14.28515625" style="1" customWidth="1"/>
    <col min="8" max="8" width="28.28515625" style="1" customWidth="1"/>
    <col min="9" max="10" width="18.5" style="1" customWidth="1"/>
    <col min="11" max="12" width="14.28515625" style="1" customWidth="1"/>
    <col min="13" max="16" width="1.78515625" style="1" customWidth="1"/>
    <col min="17" max="17" width="8.7109375" style="1" hidden="1" customWidth="1"/>
    <col min="18" max="18" width="9" hidden="1" customWidth="1"/>
    <col min="19" max="19" width="33.640625" hidden="1" customWidth="1"/>
    <col min="20" max="23" width="9" hidden="1" customWidth="1"/>
    <col min="24" max="24" width="11" hidden="1" customWidth="1"/>
    <col min="25" max="25" width="30" hidden="1" customWidth="1"/>
    <col min="26" max="26" width="15.28515625" hidden="1" customWidth="1"/>
    <col min="27" max="27" width="70.640625" hidden="1" customWidth="1"/>
    <col min="28" max="28" width="22.42578125" hidden="1" customWidth="1"/>
    <col min="29" max="31" width="9" style="1" hidden="1" customWidth="1"/>
    <col min="32" max="32" width="11" style="1" hidden="1" customWidth="1"/>
    <col min="33" max="16383" width="9" style="1" hidden="1"/>
    <col min="16384" max="16384" width="1.7109375" style="1" hidden="1" customWidth="1"/>
  </cols>
  <sheetData>
    <row r="1" spans="2:16" ht="21.95" customHeight="1" x14ac:dyDescent="0.4"/>
    <row r="2" spans="2:16" ht="9.4" customHeight="1" x14ac:dyDescent="0.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9.4" customHeight="1" x14ac:dyDescent="0.4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"/>
    </row>
    <row r="4" spans="2:16" ht="9.4" customHeight="1" x14ac:dyDescent="0.4">
      <c r="B4" s="2"/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3"/>
      <c r="P4" s="2"/>
    </row>
    <row r="5" spans="2:16" ht="9.4" customHeight="1" x14ac:dyDescent="0.4">
      <c r="B5" s="2"/>
      <c r="C5" s="3"/>
      <c r="D5" s="4"/>
      <c r="E5" s="5"/>
      <c r="F5" s="5"/>
      <c r="G5" s="5"/>
      <c r="H5" s="5"/>
      <c r="I5" s="5"/>
      <c r="J5" s="5"/>
      <c r="K5" s="5"/>
      <c r="L5" s="5"/>
      <c r="M5" s="5"/>
      <c r="N5" s="4"/>
      <c r="O5" s="3"/>
      <c r="P5" s="2"/>
    </row>
    <row r="6" spans="2:16" ht="13.15" customHeight="1" x14ac:dyDescent="0.4">
      <c r="B6" s="2"/>
      <c r="C6" s="3"/>
      <c r="D6" s="4"/>
      <c r="E6" s="5"/>
      <c r="H6" s="6"/>
      <c r="I6" s="6"/>
      <c r="J6" s="6"/>
      <c r="K6" s="8"/>
      <c r="M6" s="5"/>
      <c r="N6" s="4"/>
      <c r="O6" s="3"/>
      <c r="P6" s="2"/>
    </row>
    <row r="7" spans="2:16" ht="25.5" x14ac:dyDescent="0.4">
      <c r="B7" s="2"/>
      <c r="C7" s="3"/>
      <c r="D7" s="4"/>
      <c r="E7" s="5"/>
      <c r="G7" s="80" t="s">
        <v>7</v>
      </c>
      <c r="H7" s="80"/>
      <c r="I7" s="80"/>
      <c r="J7" s="80"/>
      <c r="K7" s="80"/>
      <c r="M7" s="5"/>
      <c r="N7" s="4"/>
      <c r="O7" s="3"/>
      <c r="P7" s="2"/>
    </row>
    <row r="8" spans="2:16" ht="13.15" customHeight="1" x14ac:dyDescent="0.4">
      <c r="B8" s="2"/>
      <c r="C8" s="3"/>
      <c r="D8" s="4"/>
      <c r="E8" s="5"/>
      <c r="H8" s="8"/>
      <c r="I8" s="8"/>
      <c r="J8" s="8"/>
      <c r="K8" s="8"/>
      <c r="M8" s="5"/>
      <c r="N8" s="4"/>
      <c r="O8" s="3"/>
      <c r="P8" s="2"/>
    </row>
    <row r="9" spans="2:16" ht="41.25" customHeight="1" x14ac:dyDescent="0.4">
      <c r="B9" s="2"/>
      <c r="C9" s="3"/>
      <c r="D9" s="4"/>
      <c r="E9" s="5"/>
      <c r="I9" s="81" t="s">
        <v>45</v>
      </c>
      <c r="J9" s="82"/>
      <c r="M9" s="5"/>
      <c r="N9" s="4"/>
      <c r="O9" s="3"/>
      <c r="P9" s="2"/>
    </row>
    <row r="10" spans="2:16" ht="15.75" x14ac:dyDescent="0.4">
      <c r="B10" s="2"/>
      <c r="C10" s="3"/>
      <c r="D10" s="4"/>
      <c r="E10" s="5"/>
      <c r="I10" s="11" t="s">
        <v>1</v>
      </c>
      <c r="J10" s="10" t="s">
        <v>2</v>
      </c>
      <c r="M10" s="5"/>
      <c r="N10" s="4"/>
      <c r="O10" s="3"/>
      <c r="P10" s="2"/>
    </row>
    <row r="11" spans="2:16" ht="15.75" x14ac:dyDescent="0.4">
      <c r="B11" s="2"/>
      <c r="C11" s="3"/>
      <c r="D11" s="4"/>
      <c r="E11" s="5"/>
      <c r="H11" s="13" t="s">
        <v>2</v>
      </c>
      <c r="I11" s="74"/>
      <c r="J11" s="74" t="b">
        <f>ISBLANK(I11)</f>
        <v>1</v>
      </c>
      <c r="M11" s="5"/>
      <c r="N11" s="4"/>
      <c r="O11" s="3"/>
      <c r="P11" s="2"/>
    </row>
    <row r="12" spans="2:16" ht="15.75" x14ac:dyDescent="0.4">
      <c r="B12" s="2"/>
      <c r="C12" s="3"/>
      <c r="D12" s="4"/>
      <c r="E12" s="5"/>
      <c r="H12" s="13" t="s">
        <v>4</v>
      </c>
      <c r="I12" s="75" t="str">
        <f>""</f>
        <v/>
      </c>
      <c r="J12" s="74" t="b">
        <f>ISBLANK(I12)</f>
        <v>0</v>
      </c>
      <c r="K12" s="65" t="s">
        <v>0</v>
      </c>
      <c r="M12" s="5"/>
      <c r="N12" s="4"/>
      <c r="O12" s="3"/>
      <c r="P12" s="2"/>
    </row>
    <row r="13" spans="2:16" ht="15.75" x14ac:dyDescent="0.4">
      <c r="B13" s="2"/>
      <c r="C13" s="3"/>
      <c r="D13" s="4"/>
      <c r="E13" s="5"/>
      <c r="H13" s="13" t="s">
        <v>42</v>
      </c>
      <c r="I13" s="75" t="s">
        <v>0</v>
      </c>
      <c r="J13" s="74" t="b">
        <f t="shared" ref="J13" si="0">ISBLANK(I13)</f>
        <v>0</v>
      </c>
      <c r="M13" s="5"/>
      <c r="N13" s="4"/>
      <c r="O13" s="3"/>
      <c r="P13" s="2"/>
    </row>
    <row r="14" spans="2:16" ht="15.75" x14ac:dyDescent="0.4">
      <c r="B14" s="2"/>
      <c r="C14" s="3"/>
      <c r="D14" s="4"/>
      <c r="E14" s="5"/>
      <c r="H14" s="13" t="s">
        <v>565</v>
      </c>
      <c r="I14" s="44" t="s">
        <v>561</v>
      </c>
      <c r="J14" s="74" t="b">
        <f>ISBLANK(I14)</f>
        <v>0</v>
      </c>
      <c r="M14" s="5"/>
      <c r="N14" s="4"/>
      <c r="O14" s="3"/>
      <c r="P14" s="2"/>
    </row>
    <row r="15" spans="2:16" ht="15.75" x14ac:dyDescent="0.4">
      <c r="B15" s="2"/>
      <c r="C15" s="3"/>
      <c r="D15" s="4"/>
      <c r="E15" s="5"/>
      <c r="H15" s="7" t="s">
        <v>8</v>
      </c>
      <c r="I15" s="76">
        <v>0</v>
      </c>
      <c r="J15" s="74" t="b">
        <f>ISBLANK(I15)</f>
        <v>0</v>
      </c>
      <c r="M15" s="5"/>
      <c r="N15" s="4"/>
      <c r="O15" s="3"/>
      <c r="P15" s="2"/>
    </row>
    <row r="16" spans="2:16" ht="15.75" x14ac:dyDescent="0.4">
      <c r="B16" s="2"/>
      <c r="C16" s="3"/>
      <c r="D16" s="4"/>
      <c r="E16" s="5"/>
      <c r="H16" s="13" t="s">
        <v>6</v>
      </c>
      <c r="I16" s="75">
        <v>0</v>
      </c>
      <c r="J16" s="74" t="b">
        <f>ISBLANK(I16)</f>
        <v>0</v>
      </c>
      <c r="M16" s="5"/>
      <c r="N16" s="4"/>
      <c r="O16" s="3"/>
      <c r="P16" s="2"/>
    </row>
    <row r="17" spans="2:19" ht="15.75" x14ac:dyDescent="0.4">
      <c r="B17" s="2"/>
      <c r="C17" s="3"/>
      <c r="D17" s="4"/>
      <c r="E17" s="5"/>
      <c r="H17" s="77" t="s">
        <v>18</v>
      </c>
      <c r="I17" s="75" t="str">
        <f>"0"</f>
        <v>0</v>
      </c>
      <c r="J17" s="74" t="b">
        <f>ISBLANK(I17)</f>
        <v>0</v>
      </c>
      <c r="M17" s="5"/>
      <c r="N17" s="4"/>
      <c r="O17" s="3"/>
      <c r="P17" s="2"/>
    </row>
    <row r="18" spans="2:19" x14ac:dyDescent="0.4">
      <c r="B18" s="2"/>
      <c r="C18" s="3"/>
      <c r="D18" s="4"/>
      <c r="E18" s="5"/>
      <c r="H18" s="38"/>
      <c r="I18" s="37"/>
      <c r="J18"/>
      <c r="M18" s="5"/>
      <c r="N18" s="4"/>
      <c r="O18" s="3"/>
      <c r="P18" s="2"/>
    </row>
    <row r="19" spans="2:19" ht="41.25" customHeight="1" x14ac:dyDescent="0.4">
      <c r="B19" s="2"/>
      <c r="C19" s="3"/>
      <c r="D19" s="4"/>
      <c r="E19" s="5"/>
      <c r="H19" s="14"/>
      <c r="I19" s="81" t="s">
        <v>46</v>
      </c>
      <c r="J19" s="82"/>
      <c r="K19" s="19"/>
      <c r="M19" s="5"/>
      <c r="N19" s="4"/>
      <c r="O19" s="3"/>
      <c r="P19" s="2"/>
    </row>
    <row r="20" spans="2:19" ht="15.75" x14ac:dyDescent="0.4">
      <c r="B20" s="2"/>
      <c r="C20" s="3"/>
      <c r="D20" s="4"/>
      <c r="E20" s="5"/>
      <c r="I20" s="11" t="s">
        <v>1</v>
      </c>
      <c r="J20" s="10" t="s">
        <v>4</v>
      </c>
      <c r="K20" s="19"/>
      <c r="M20" s="5"/>
      <c r="N20" s="4"/>
      <c r="O20" s="3"/>
      <c r="P20" s="2"/>
    </row>
    <row r="21" spans="2:19" ht="15.75" x14ac:dyDescent="0.4">
      <c r="B21" s="2"/>
      <c r="C21" s="3"/>
      <c r="D21" s="4"/>
      <c r="E21" s="5"/>
      <c r="H21" s="7" t="s">
        <v>2</v>
      </c>
      <c r="I21" s="74"/>
      <c r="J21" s="74" t="b">
        <f>I21=""</f>
        <v>1</v>
      </c>
      <c r="K21" s="19"/>
      <c r="M21" s="5"/>
      <c r="N21" s="4"/>
      <c r="O21" s="3"/>
      <c r="P21" s="2"/>
    </row>
    <row r="22" spans="2:19" ht="15.75" x14ac:dyDescent="0.4">
      <c r="B22" s="2"/>
      <c r="C22" s="3"/>
      <c r="D22" s="4"/>
      <c r="E22" s="5"/>
      <c r="H22" s="13" t="s">
        <v>4</v>
      </c>
      <c r="I22" s="75" t="str">
        <f>""</f>
        <v/>
      </c>
      <c r="J22" s="74" t="b">
        <f>I22=""</f>
        <v>1</v>
      </c>
      <c r="K22" s="66"/>
      <c r="M22" s="5"/>
      <c r="N22" s="4"/>
      <c r="O22" s="3"/>
      <c r="P22" s="2"/>
    </row>
    <row r="23" spans="2:19" ht="15.75" x14ac:dyDescent="0.4">
      <c r="B23" s="2"/>
      <c r="C23" s="3"/>
      <c r="D23" s="4"/>
      <c r="E23" s="5"/>
      <c r="H23" s="7" t="s">
        <v>42</v>
      </c>
      <c r="I23" s="75" t="s">
        <v>0</v>
      </c>
      <c r="J23" s="74" t="b">
        <f t="shared" ref="J23" si="1">I23=""</f>
        <v>0</v>
      </c>
      <c r="K23" s="19"/>
      <c r="M23" s="5"/>
      <c r="N23" s="4"/>
      <c r="O23" s="3"/>
      <c r="P23" s="2"/>
    </row>
    <row r="24" spans="2:19" ht="15.75" x14ac:dyDescent="0.4">
      <c r="B24" s="2"/>
      <c r="C24" s="3"/>
      <c r="D24" s="4"/>
      <c r="E24" s="5"/>
      <c r="H24" s="13" t="s">
        <v>565</v>
      </c>
      <c r="I24" s="44" t="s">
        <v>561</v>
      </c>
      <c r="J24" s="74" t="b">
        <f>I24=""</f>
        <v>1</v>
      </c>
      <c r="K24" s="19"/>
      <c r="M24" s="5"/>
      <c r="N24" s="4"/>
      <c r="O24" s="3"/>
      <c r="P24" s="2"/>
    </row>
    <row r="25" spans="2:19" ht="15.75" x14ac:dyDescent="0.4">
      <c r="B25" s="2"/>
      <c r="C25" s="3"/>
      <c r="D25" s="4"/>
      <c r="E25" s="5"/>
      <c r="H25" s="7" t="s">
        <v>8</v>
      </c>
      <c r="I25" s="76">
        <v>0</v>
      </c>
      <c r="J25" s="74" t="b">
        <f>I25=""</f>
        <v>0</v>
      </c>
      <c r="M25" s="5"/>
      <c r="N25" s="4"/>
      <c r="O25" s="3"/>
      <c r="P25" s="2"/>
      <c r="S25" s="37"/>
    </row>
    <row r="26" spans="2:19" ht="15.75" x14ac:dyDescent="0.4">
      <c r="B26" s="2"/>
      <c r="C26" s="3"/>
      <c r="D26" s="4"/>
      <c r="E26" s="5"/>
      <c r="H26" s="7" t="s">
        <v>6</v>
      </c>
      <c r="I26" s="75">
        <v>0</v>
      </c>
      <c r="J26" s="74" t="b">
        <f>I26=""</f>
        <v>0</v>
      </c>
      <c r="M26" s="5"/>
      <c r="N26" s="4"/>
      <c r="O26" s="3"/>
      <c r="P26" s="2"/>
    </row>
    <row r="27" spans="2:19" ht="15.75" x14ac:dyDescent="0.4">
      <c r="B27" s="2"/>
      <c r="C27" s="3"/>
      <c r="D27" s="4"/>
      <c r="E27" s="5"/>
      <c r="H27" s="13" t="s">
        <v>18</v>
      </c>
      <c r="I27" s="75" t="str">
        <f>"0"</f>
        <v>0</v>
      </c>
      <c r="J27" s="74" t="b">
        <f>I27=""</f>
        <v>0</v>
      </c>
      <c r="M27" s="5"/>
      <c r="N27" s="4"/>
      <c r="O27" s="3"/>
      <c r="P27" s="2"/>
    </row>
    <row r="28" spans="2:19" x14ac:dyDescent="0.4">
      <c r="B28" s="2"/>
      <c r="C28" s="3"/>
      <c r="D28" s="4"/>
      <c r="E28" s="5"/>
      <c r="M28" s="5"/>
      <c r="N28" s="4"/>
      <c r="O28" s="3"/>
      <c r="P28" s="2"/>
    </row>
    <row r="29" spans="2:19" ht="41.25" customHeight="1" x14ac:dyDescent="0.4">
      <c r="B29" s="2"/>
      <c r="C29" s="3"/>
      <c r="D29" s="4"/>
      <c r="E29" s="5"/>
      <c r="I29" s="81" t="s">
        <v>47</v>
      </c>
      <c r="J29" s="82"/>
      <c r="M29" s="5"/>
      <c r="N29" s="4"/>
      <c r="O29" s="3"/>
      <c r="P29" s="2"/>
    </row>
    <row r="30" spans="2:19" ht="15.75" x14ac:dyDescent="0.4">
      <c r="B30" s="2"/>
      <c r="C30" s="3"/>
      <c r="D30" s="4"/>
      <c r="E30" s="5"/>
      <c r="I30" s="11" t="s">
        <v>1</v>
      </c>
      <c r="J30" s="10" t="s">
        <v>3</v>
      </c>
      <c r="M30" s="5"/>
      <c r="N30" s="4"/>
      <c r="O30" s="3"/>
      <c r="P30" s="2"/>
    </row>
    <row r="31" spans="2:19" ht="15.75" x14ac:dyDescent="0.4">
      <c r="B31" s="2"/>
      <c r="C31" s="3"/>
      <c r="D31" s="4"/>
      <c r="E31" s="5"/>
      <c r="H31" s="7" t="s">
        <v>2</v>
      </c>
      <c r="I31" s="74"/>
      <c r="J31" s="74" t="b">
        <f t="shared" ref="J31:J37" si="2">I31=0</f>
        <v>1</v>
      </c>
      <c r="M31" s="5"/>
      <c r="N31" s="4"/>
      <c r="O31" s="3"/>
      <c r="P31" s="2"/>
    </row>
    <row r="32" spans="2:19" ht="15.75" x14ac:dyDescent="0.4">
      <c r="B32" s="2"/>
      <c r="C32" s="3"/>
      <c r="D32" s="4"/>
      <c r="E32" s="5"/>
      <c r="H32" s="13" t="s">
        <v>4</v>
      </c>
      <c r="I32" s="75" t="str">
        <f>""</f>
        <v/>
      </c>
      <c r="J32" s="74" t="b">
        <f t="shared" si="2"/>
        <v>0</v>
      </c>
      <c r="M32" s="5"/>
      <c r="N32" s="4"/>
      <c r="O32" s="3"/>
      <c r="P32" s="2"/>
    </row>
    <row r="33" spans="2:17" ht="15.75" x14ac:dyDescent="0.4">
      <c r="B33" s="2"/>
      <c r="C33" s="3"/>
      <c r="D33" s="4"/>
      <c r="E33" s="5"/>
      <c r="H33" s="7" t="s">
        <v>42</v>
      </c>
      <c r="I33" s="75" t="s">
        <v>0</v>
      </c>
      <c r="J33" s="74" t="b">
        <f t="shared" si="2"/>
        <v>0</v>
      </c>
      <c r="M33" s="5"/>
      <c r="N33" s="4"/>
      <c r="O33" s="3"/>
      <c r="P33" s="2"/>
    </row>
    <row r="34" spans="2:17" ht="15.75" x14ac:dyDescent="0.4">
      <c r="B34" s="2"/>
      <c r="C34" s="3"/>
      <c r="D34" s="4"/>
      <c r="E34" s="5"/>
      <c r="H34" s="13" t="s">
        <v>565</v>
      </c>
      <c r="I34" s="44" t="s">
        <v>561</v>
      </c>
      <c r="J34" s="74" t="b">
        <f t="shared" si="2"/>
        <v>0</v>
      </c>
      <c r="M34" s="5"/>
      <c r="N34" s="4"/>
      <c r="O34" s="3"/>
      <c r="P34" s="2"/>
    </row>
    <row r="35" spans="2:17" ht="15.75" x14ac:dyDescent="0.4">
      <c r="B35" s="2"/>
      <c r="C35" s="3"/>
      <c r="D35" s="4"/>
      <c r="E35" s="5"/>
      <c r="H35" s="7" t="s">
        <v>8</v>
      </c>
      <c r="I35" s="76">
        <v>0</v>
      </c>
      <c r="J35" s="74" t="b">
        <f t="shared" si="2"/>
        <v>1</v>
      </c>
      <c r="M35" s="5"/>
      <c r="N35" s="4"/>
      <c r="O35" s="3"/>
      <c r="P35" s="2"/>
    </row>
    <row r="36" spans="2:17" ht="15.75" x14ac:dyDescent="0.4">
      <c r="B36" s="2"/>
      <c r="C36" s="3"/>
      <c r="D36" s="4"/>
      <c r="E36" s="5"/>
      <c r="H36" s="7" t="s">
        <v>6</v>
      </c>
      <c r="I36" s="75">
        <v>0</v>
      </c>
      <c r="J36" s="74" t="b">
        <f t="shared" si="2"/>
        <v>1</v>
      </c>
      <c r="M36" s="5"/>
      <c r="N36" s="4"/>
      <c r="O36" s="3"/>
      <c r="P36" s="2"/>
    </row>
    <row r="37" spans="2:17" ht="15.75" x14ac:dyDescent="0.4">
      <c r="B37" s="2"/>
      <c r="C37" s="3"/>
      <c r="D37" s="4"/>
      <c r="E37" s="5"/>
      <c r="H37" s="7" t="s">
        <v>18</v>
      </c>
      <c r="I37" s="75" t="str">
        <f>"0"</f>
        <v>0</v>
      </c>
      <c r="J37" s="74" t="b">
        <f t="shared" si="2"/>
        <v>0</v>
      </c>
      <c r="M37" s="5"/>
      <c r="N37" s="4"/>
      <c r="O37" s="3"/>
      <c r="P37" s="2"/>
    </row>
    <row r="38" spans="2:17" x14ac:dyDescent="0.4">
      <c r="B38" s="2"/>
      <c r="C38" s="3"/>
      <c r="D38" s="4"/>
      <c r="E38" s="5"/>
      <c r="M38" s="5"/>
      <c r="N38" s="4"/>
      <c r="O38" s="3"/>
      <c r="P38" s="2"/>
    </row>
    <row r="39" spans="2:17" ht="9.4" customHeight="1" x14ac:dyDescent="0.4">
      <c r="B39" s="2"/>
      <c r="C39" s="3"/>
      <c r="D39" s="4"/>
      <c r="E39" s="5"/>
      <c r="F39" s="5"/>
      <c r="G39" s="5"/>
      <c r="H39" s="5"/>
      <c r="I39" s="5"/>
      <c r="J39" s="5"/>
      <c r="K39" s="5"/>
      <c r="L39" s="5"/>
      <c r="M39" s="5"/>
      <c r="N39" s="4"/>
      <c r="O39" s="3"/>
      <c r="P39" s="2"/>
      <c r="Q39"/>
    </row>
    <row r="40" spans="2:17" ht="9.4" customHeight="1" x14ac:dyDescent="0.4">
      <c r="B40" s="2"/>
      <c r="C40" s="3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3"/>
      <c r="P40" s="2"/>
      <c r="Q40"/>
    </row>
    <row r="41" spans="2:17" ht="9.4" customHeight="1" x14ac:dyDescent="0.4"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2"/>
      <c r="Q41"/>
    </row>
    <row r="42" spans="2:17" ht="10.15" customHeight="1" x14ac:dyDescent="0.4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/>
    </row>
    <row r="43" spans="2:17" hidden="1" x14ac:dyDescent="0.4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7" hidden="1" x14ac:dyDescent="0.4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7" ht="9.4" hidden="1" customHeight="1" x14ac:dyDescent="0.4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7" ht="9.4" hidden="1" customHeight="1" x14ac:dyDescent="0.4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7" ht="9.4" hidden="1" customHeight="1" x14ac:dyDescent="0.4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7" ht="9.4" hidden="1" customHeight="1" x14ac:dyDescent="0.4">
      <c r="B48"/>
      <c r="C48"/>
      <c r="D48"/>
      <c r="E48"/>
      <c r="F48"/>
      <c r="G48"/>
      <c r="H48"/>
      <c r="I48"/>
      <c r="J48"/>
      <c r="K48" s="9"/>
      <c r="L48"/>
      <c r="M48"/>
      <c r="N48"/>
      <c r="O48"/>
      <c r="P48"/>
      <c r="Q48"/>
    </row>
    <row r="49" spans="2:17" hidden="1" x14ac:dyDescent="0.4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2:17" hidden="1" x14ac:dyDescent="0.4">
      <c r="B50"/>
      <c r="C50"/>
      <c r="D50"/>
      <c r="E50"/>
      <c r="F50"/>
      <c r="G50"/>
      <c r="K50"/>
      <c r="L50"/>
      <c r="M50"/>
      <c r="N50"/>
      <c r="O50"/>
      <c r="P50"/>
      <c r="Q50"/>
    </row>
    <row r="51" spans="2:17" hidden="1" x14ac:dyDescent="0.4">
      <c r="B51"/>
      <c r="C51"/>
      <c r="D51"/>
      <c r="E51"/>
      <c r="F51"/>
      <c r="G51"/>
      <c r="K51"/>
      <c r="L51"/>
      <c r="M51"/>
      <c r="N51"/>
      <c r="O51"/>
      <c r="P51"/>
      <c r="Q51"/>
    </row>
    <row r="52" spans="2:17" hidden="1" x14ac:dyDescent="0.4">
      <c r="B52"/>
      <c r="C52"/>
      <c r="D52"/>
      <c r="E52"/>
      <c r="F52"/>
      <c r="G52"/>
      <c r="K52"/>
      <c r="L52"/>
      <c r="M52"/>
      <c r="N52"/>
      <c r="O52"/>
      <c r="P52"/>
      <c r="Q52"/>
    </row>
    <row r="53" spans="2:17" hidden="1" x14ac:dyDescent="0.4">
      <c r="B53"/>
      <c r="C53"/>
      <c r="D53"/>
      <c r="E53"/>
      <c r="F53"/>
      <c r="G53"/>
      <c r="K53"/>
      <c r="L53"/>
      <c r="M53"/>
      <c r="N53"/>
      <c r="O53"/>
      <c r="P53"/>
      <c r="Q53"/>
    </row>
    <row r="54" spans="2:17" hidden="1" x14ac:dyDescent="0.4">
      <c r="B54"/>
      <c r="C54"/>
      <c r="D54"/>
      <c r="E54"/>
      <c r="F54"/>
      <c r="G54"/>
      <c r="K54"/>
      <c r="L54"/>
      <c r="M54"/>
      <c r="N54"/>
      <c r="O54"/>
      <c r="P54"/>
      <c r="Q54"/>
    </row>
    <row r="55" spans="2:17" hidden="1" x14ac:dyDescent="0.4">
      <c r="B55"/>
      <c r="C55"/>
      <c r="D55"/>
      <c r="E55"/>
      <c r="F55"/>
      <c r="G55"/>
      <c r="K55"/>
      <c r="L55"/>
      <c r="M55"/>
      <c r="N55"/>
      <c r="O55"/>
      <c r="P55"/>
      <c r="Q55"/>
    </row>
    <row r="56" spans="2:17" hidden="1" x14ac:dyDescent="0.4">
      <c r="B56"/>
      <c r="C56"/>
      <c r="D56"/>
      <c r="E56"/>
      <c r="F56"/>
      <c r="G56"/>
      <c r="K56"/>
      <c r="L56"/>
      <c r="M56"/>
      <c r="N56"/>
      <c r="O56"/>
      <c r="P56"/>
      <c r="Q56"/>
    </row>
    <row r="57" spans="2:17" hidden="1" x14ac:dyDescent="0.4">
      <c r="B57"/>
      <c r="C57"/>
      <c r="D57"/>
      <c r="E57"/>
      <c r="F57"/>
      <c r="G57"/>
      <c r="K57"/>
      <c r="L57"/>
      <c r="M57"/>
      <c r="N57"/>
      <c r="O57"/>
      <c r="P57"/>
      <c r="Q57"/>
    </row>
    <row r="58" spans="2:17" hidden="1" x14ac:dyDescent="0.4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2:17" hidden="1" x14ac:dyDescent="0.4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2:17" hidden="1" x14ac:dyDescent="0.4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2:17" hidden="1" x14ac:dyDescent="0.4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2:17" hidden="1" x14ac:dyDescent="0.4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2:17" hidden="1" x14ac:dyDescent="0.4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2:17" hidden="1" x14ac:dyDescent="0.4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2:17" hidden="1" x14ac:dyDescent="0.4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2:17" hidden="1" x14ac:dyDescent="0.4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2:17" hidden="1" x14ac:dyDescent="0.4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2:17" hidden="1" x14ac:dyDescent="0.4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2:17" hidden="1" x14ac:dyDescent="0.4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2:17" hidden="1" x14ac:dyDescent="0.4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2:17" hidden="1" x14ac:dyDescent="0.4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2:17" hidden="1" x14ac:dyDescent="0.4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2:17" hidden="1" x14ac:dyDescent="0.4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1048576" ht="13.5" hidden="1" customHeight="1" x14ac:dyDescent="0.4"/>
  </sheetData>
  <mergeCells count="4">
    <mergeCell ref="G7:K7"/>
    <mergeCell ref="I9:J9"/>
    <mergeCell ref="I19:J19"/>
    <mergeCell ref="I29:J29"/>
  </mergeCells>
  <conditionalFormatting sqref="I11:J17 I21:J27 I31:J37">
    <cfRule type="expression" dxfId="14" priority="1">
      <formula>$J11=TRUE</formula>
    </cfRule>
    <cfRule type="expression" dxfId="13" priority="2">
      <formula>$J11=FALSE</formula>
    </cfRule>
    <cfRule type="expression" dxfId="12" priority="3">
      <formula>$J11=TRUE</formula>
    </cfRule>
    <cfRule type="expression" dxfId="11" priority="4">
      <formula>$J11=FALSE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6045-9F51-4D29-A4E4-1B795C4B8CA4}">
  <sheetPr codeName="Sheet3">
    <tabColor rgb="FF146B32"/>
  </sheetPr>
  <dimension ref="A1:AQ41"/>
  <sheetViews>
    <sheetView showGridLines="0" zoomScaleNormal="100" workbookViewId="0"/>
  </sheetViews>
  <sheetFormatPr defaultColWidth="0" defaultRowHeight="13.15" zeroHeight="1" x14ac:dyDescent="0.4"/>
  <cols>
    <col min="1" max="1" width="5.7109375" style="1" customWidth="1"/>
    <col min="2" max="5" width="1.78515625" style="1" customWidth="1"/>
    <col min="6" max="7" width="7.140625" style="1" customWidth="1"/>
    <col min="8" max="8" width="9.140625" style="1" customWidth="1"/>
    <col min="9" max="12" width="14.28515625" style="1" customWidth="1"/>
    <col min="13" max="13" width="13.28515625" style="1" bestFit="1" customWidth="1"/>
    <col min="14" max="14" width="14.28515625" style="1" customWidth="1"/>
    <col min="15" max="15" width="16" style="1" customWidth="1"/>
    <col min="16" max="17" width="14.28515625" style="1" customWidth="1"/>
    <col min="18" max="18" width="15.5" style="1" bestFit="1" customWidth="1"/>
    <col min="19" max="19" width="14.35546875" style="1" customWidth="1"/>
    <col min="20" max="21" width="7.140625" style="1" customWidth="1"/>
    <col min="22" max="25" width="1.78515625" style="1" customWidth="1"/>
    <col min="26" max="26" width="8.7109375" style="1" hidden="1" customWidth="1"/>
    <col min="27" max="29" width="2.5703125" style="1" hidden="1" customWidth="1"/>
    <col min="30" max="30" width="2.5703125" hidden="1" customWidth="1"/>
    <col min="31" max="34" width="2.5703125" style="1" hidden="1" customWidth="1"/>
    <col min="35" max="35" width="7.0703125" style="1" hidden="1" customWidth="1"/>
    <col min="36" max="36" width="8.28515625" style="1" hidden="1" customWidth="1"/>
    <col min="37" max="39" width="7.42578125" style="1" hidden="1" customWidth="1"/>
    <col min="40" max="40" width="7.5703125" style="1" hidden="1" customWidth="1"/>
    <col min="41" max="42" width="9" style="1" hidden="1" customWidth="1"/>
    <col min="43" max="43" width="11" style="1" hidden="1" customWidth="1"/>
    <col min="44" max="16384" width="9" style="1" hidden="1"/>
  </cols>
  <sheetData>
    <row r="1" spans="2:36" ht="21.95" customHeight="1" x14ac:dyDescent="0.4"/>
    <row r="2" spans="2:36" ht="9.4" customHeight="1" x14ac:dyDescent="0.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2:36" ht="9.4" customHeight="1" x14ac:dyDescent="0.4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2"/>
    </row>
    <row r="4" spans="2:36" ht="9.4" customHeight="1" x14ac:dyDescent="0.4">
      <c r="B4" s="2"/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3"/>
      <c r="Y4" s="2"/>
    </row>
    <row r="5" spans="2:36" ht="9.4" customHeight="1" x14ac:dyDescent="0.4">
      <c r="B5" s="2"/>
      <c r="C5" s="3"/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4"/>
      <c r="X5" s="3"/>
      <c r="Y5" s="2"/>
    </row>
    <row r="6" spans="2:36" ht="13.15" customHeight="1" x14ac:dyDescent="0.4">
      <c r="B6" s="2"/>
      <c r="C6" s="3"/>
      <c r="D6" s="4"/>
      <c r="E6" s="5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V6" s="5"/>
      <c r="W6" s="4"/>
      <c r="X6" s="3"/>
      <c r="Y6" s="2"/>
    </row>
    <row r="7" spans="2:36" ht="25.5" x14ac:dyDescent="0.4">
      <c r="B7" s="2"/>
      <c r="C7" s="3"/>
      <c r="D7" s="4"/>
      <c r="E7" s="5"/>
      <c r="G7" s="86" t="s">
        <v>17</v>
      </c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V7" s="5"/>
      <c r="W7" s="4"/>
      <c r="X7" s="3"/>
      <c r="Y7" s="2"/>
      <c r="AA7" s="26"/>
    </row>
    <row r="8" spans="2:36" ht="13.15" customHeight="1" x14ac:dyDescent="0.4">
      <c r="B8" s="2"/>
      <c r="C8" s="3"/>
      <c r="D8" s="4"/>
      <c r="E8" s="5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V8" s="5"/>
      <c r="W8" s="4"/>
      <c r="X8" s="3"/>
      <c r="Y8" s="2"/>
    </row>
    <row r="9" spans="2:36" ht="21" customHeight="1" x14ac:dyDescent="0.4">
      <c r="B9" s="2"/>
      <c r="C9" s="3"/>
      <c r="D9" s="4"/>
      <c r="E9" s="5"/>
      <c r="H9" s="8"/>
      <c r="I9" s="27"/>
      <c r="J9" s="81" t="s">
        <v>43</v>
      </c>
      <c r="K9" s="85"/>
      <c r="L9" s="85"/>
      <c r="M9" s="85"/>
      <c r="N9" s="85"/>
      <c r="O9" s="85"/>
      <c r="P9" s="85"/>
      <c r="Q9" s="85"/>
      <c r="R9"/>
      <c r="S9"/>
      <c r="V9" s="5"/>
      <c r="W9" s="4"/>
      <c r="X9" s="3"/>
      <c r="Y9" s="2"/>
    </row>
    <row r="10" spans="2:36" ht="47.25" x14ac:dyDescent="0.4">
      <c r="B10" s="2"/>
      <c r="C10" s="3"/>
      <c r="D10" s="4"/>
      <c r="E10" s="5"/>
      <c r="H10" s="8"/>
      <c r="I10" s="27"/>
      <c r="J10" s="7" t="s">
        <v>2</v>
      </c>
      <c r="K10" s="18" t="s">
        <v>4</v>
      </c>
      <c r="L10" s="23" t="s">
        <v>42</v>
      </c>
      <c r="M10" s="24" t="s">
        <v>566</v>
      </c>
      <c r="N10" s="7" t="s">
        <v>16</v>
      </c>
      <c r="O10" s="7" t="s">
        <v>9</v>
      </c>
      <c r="P10" s="24" t="s">
        <v>40</v>
      </c>
      <c r="Q10" s="24" t="s">
        <v>41</v>
      </c>
      <c r="R10"/>
      <c r="S10"/>
      <c r="V10" s="5"/>
      <c r="W10" s="4"/>
      <c r="X10" s="3"/>
      <c r="Y10" s="2"/>
      <c r="AA10" s="26"/>
      <c r="AC10" s="26"/>
    </row>
    <row r="11" spans="2:36" ht="14.25" customHeight="1" x14ac:dyDescent="0.4">
      <c r="B11" s="2"/>
      <c r="C11" s="3"/>
      <c r="D11" s="4"/>
      <c r="E11" s="5"/>
      <c r="H11" s="8"/>
      <c r="I11" s="27"/>
      <c r="J11" s="44"/>
      <c r="K11" s="12" t="str">
        <f>""</f>
        <v/>
      </c>
      <c r="L11" s="67" t="s">
        <v>0</v>
      </c>
      <c r="M11" s="68" t="s">
        <v>561</v>
      </c>
      <c r="N11" s="72">
        <v>1</v>
      </c>
      <c r="O11" s="71" t="s">
        <v>5</v>
      </c>
      <c r="P11" s="34">
        <v>1</v>
      </c>
      <c r="Q11" s="36" t="s">
        <v>5</v>
      </c>
      <c r="R11"/>
      <c r="S11"/>
      <c r="V11" s="5"/>
      <c r="W11" s="4"/>
      <c r="X11" s="3"/>
      <c r="Y11" s="2"/>
    </row>
    <row r="12" spans="2:36" ht="14.25" customHeight="1" x14ac:dyDescent="0.4">
      <c r="B12" s="2"/>
      <c r="C12" s="3"/>
      <c r="D12" s="4"/>
      <c r="E12" s="5"/>
      <c r="H12" s="8"/>
      <c r="I12" s="27"/>
      <c r="J12" s="12"/>
      <c r="K12" s="12" t="str">
        <f>""</f>
        <v/>
      </c>
      <c r="L12" s="17" t="s">
        <v>0</v>
      </c>
      <c r="M12" s="69" t="s">
        <v>561</v>
      </c>
      <c r="N12" s="73">
        <v>2</v>
      </c>
      <c r="O12" s="71" t="s">
        <v>10</v>
      </c>
      <c r="P12" s="35">
        <v>2</v>
      </c>
      <c r="Q12" s="36" t="s">
        <v>10</v>
      </c>
      <c r="R12"/>
      <c r="S12"/>
      <c r="V12" s="5"/>
      <c r="W12" s="4"/>
      <c r="X12" s="3"/>
      <c r="Y12" s="2"/>
      <c r="AC12" s="9"/>
    </row>
    <row r="13" spans="2:36" ht="14.25" customHeight="1" x14ac:dyDescent="0.4">
      <c r="B13" s="2"/>
      <c r="C13" s="3"/>
      <c r="D13" s="4"/>
      <c r="E13" s="5"/>
      <c r="H13" s="8"/>
      <c r="I13" s="27"/>
      <c r="J13" s="12"/>
      <c r="K13" s="12" t="str">
        <f>""</f>
        <v/>
      </c>
      <c r="L13" s="17" t="s">
        <v>0</v>
      </c>
      <c r="M13" s="69" t="s">
        <v>561</v>
      </c>
      <c r="N13" s="73">
        <v>3</v>
      </c>
      <c r="O13" s="70" t="s">
        <v>11</v>
      </c>
      <c r="P13" s="35">
        <v>3</v>
      </c>
      <c r="Q13" s="36" t="s">
        <v>11</v>
      </c>
      <c r="R13"/>
      <c r="S13"/>
      <c r="V13" s="5"/>
      <c r="W13" s="4"/>
      <c r="X13" s="3"/>
      <c r="Y13" s="2"/>
      <c r="AC13" s="9"/>
      <c r="AJ13" s="1" t="s">
        <v>0</v>
      </c>
    </row>
    <row r="14" spans="2:36" ht="14.25" customHeight="1" x14ac:dyDescent="0.4">
      <c r="B14" s="2"/>
      <c r="C14" s="3"/>
      <c r="D14" s="4"/>
      <c r="E14" s="5"/>
      <c r="H14" s="8"/>
      <c r="I14" s="27"/>
      <c r="J14" s="12"/>
      <c r="K14" s="12" t="str">
        <f>""</f>
        <v/>
      </c>
      <c r="L14" s="17" t="s">
        <v>0</v>
      </c>
      <c r="M14" s="69" t="s">
        <v>561</v>
      </c>
      <c r="N14" s="73">
        <v>4</v>
      </c>
      <c r="O14" s="71" t="s">
        <v>12</v>
      </c>
      <c r="P14" s="35">
        <v>4</v>
      </c>
      <c r="Q14" s="36" t="s">
        <v>12</v>
      </c>
      <c r="R14"/>
      <c r="S14"/>
      <c r="V14" s="5"/>
      <c r="W14" s="4"/>
      <c r="X14" s="3"/>
      <c r="Y14" s="2"/>
      <c r="AC14" s="9"/>
    </row>
    <row r="15" spans="2:36" ht="14.25" customHeight="1" x14ac:dyDescent="0.4">
      <c r="B15" s="2"/>
      <c r="C15" s="3"/>
      <c r="D15" s="4"/>
      <c r="E15" s="5"/>
      <c r="H15" s="8"/>
      <c r="I15" s="27"/>
      <c r="J15" s="12"/>
      <c r="K15" s="12" t="str">
        <f>""</f>
        <v/>
      </c>
      <c r="L15" s="17" t="s">
        <v>0</v>
      </c>
      <c r="M15" s="69" t="s">
        <v>561</v>
      </c>
      <c r="N15" s="73">
        <v>5</v>
      </c>
      <c r="O15" s="70" t="s">
        <v>13</v>
      </c>
      <c r="P15" s="35">
        <v>5</v>
      </c>
      <c r="Q15" s="36" t="s">
        <v>13</v>
      </c>
      <c r="R15"/>
      <c r="S15"/>
      <c r="V15" s="5"/>
      <c r="W15" s="4"/>
      <c r="X15" s="3"/>
      <c r="Y15" s="2"/>
      <c r="AC15" s="9"/>
    </row>
    <row r="16" spans="2:36" ht="14.25" customHeight="1" x14ac:dyDescent="0.4">
      <c r="B16" s="2"/>
      <c r="C16" s="3"/>
      <c r="D16" s="4"/>
      <c r="E16" s="5"/>
      <c r="H16" s="8"/>
      <c r="I16" s="27"/>
      <c r="J16" s="12"/>
      <c r="K16" s="12" t="str">
        <f>""</f>
        <v/>
      </c>
      <c r="L16" s="17" t="s">
        <v>0</v>
      </c>
      <c r="M16" s="69" t="s">
        <v>561</v>
      </c>
      <c r="N16" s="73">
        <v>6</v>
      </c>
      <c r="O16" s="71" t="s">
        <v>14</v>
      </c>
      <c r="P16" s="35">
        <v>6</v>
      </c>
      <c r="Q16" s="36" t="s">
        <v>14</v>
      </c>
      <c r="R16"/>
      <c r="S16"/>
      <c r="V16" s="5"/>
      <c r="W16" s="4"/>
      <c r="X16" s="3"/>
      <c r="Y16" s="2"/>
      <c r="AC16" s="9"/>
    </row>
    <row r="17" spans="2:40" ht="14.25" customHeight="1" x14ac:dyDescent="0.4">
      <c r="B17" s="2"/>
      <c r="C17" s="3"/>
      <c r="D17" s="4"/>
      <c r="E17" s="5"/>
      <c r="H17" s="8"/>
      <c r="I17" s="27"/>
      <c r="J17" s="12"/>
      <c r="K17" s="12" t="str">
        <f>""</f>
        <v/>
      </c>
      <c r="L17" s="17" t="s">
        <v>0</v>
      </c>
      <c r="M17" s="69" t="s">
        <v>561</v>
      </c>
      <c r="N17" s="73">
        <v>7</v>
      </c>
      <c r="O17" s="70" t="s">
        <v>15</v>
      </c>
      <c r="P17" s="35">
        <v>7</v>
      </c>
      <c r="Q17" s="36" t="s">
        <v>15</v>
      </c>
      <c r="R17"/>
      <c r="S17"/>
      <c r="V17" s="5"/>
      <c r="W17" s="4"/>
      <c r="X17" s="3"/>
      <c r="Y17" s="2"/>
      <c r="AC17" s="9"/>
    </row>
    <row r="18" spans="2:40" x14ac:dyDescent="0.4">
      <c r="B18" s="2"/>
      <c r="C18" s="3"/>
      <c r="D18" s="4"/>
      <c r="E18" s="5"/>
      <c r="I18" s="14"/>
      <c r="J18" s="14"/>
      <c r="V18" s="5"/>
      <c r="W18" s="4"/>
      <c r="X18" s="3"/>
      <c r="Y18" s="2"/>
      <c r="AC18" s="9"/>
    </row>
    <row r="19" spans="2:40" ht="21" x14ac:dyDescent="0.4">
      <c r="B19" s="2"/>
      <c r="C19" s="3"/>
      <c r="D19" s="4"/>
      <c r="E19" s="5"/>
      <c r="H19" s="82" t="s">
        <v>44</v>
      </c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29"/>
      <c r="U19" s="29"/>
      <c r="V19" s="5"/>
      <c r="W19" s="4"/>
      <c r="X19" s="3"/>
      <c r="Y19" s="2"/>
    </row>
    <row r="20" spans="2:40" ht="47.25" x14ac:dyDescent="0.4">
      <c r="B20" s="2"/>
      <c r="C20" s="3"/>
      <c r="D20" s="4"/>
      <c r="E20" s="5"/>
      <c r="H20" s="24" t="s">
        <v>19</v>
      </c>
      <c r="I20" s="24" t="s">
        <v>53</v>
      </c>
      <c r="J20" s="87" t="s">
        <v>298</v>
      </c>
      <c r="K20" s="88"/>
      <c r="L20" s="18" t="s">
        <v>2</v>
      </c>
      <c r="M20" s="23" t="s">
        <v>4</v>
      </c>
      <c r="N20" s="24" t="s">
        <v>42</v>
      </c>
      <c r="O20" s="24" t="s">
        <v>566</v>
      </c>
      <c r="P20" s="18" t="s">
        <v>16</v>
      </c>
      <c r="Q20" s="18" t="s">
        <v>9</v>
      </c>
      <c r="R20" s="18" t="s">
        <v>40</v>
      </c>
      <c r="S20" s="18" t="s">
        <v>41</v>
      </c>
      <c r="T20"/>
      <c r="U20"/>
      <c r="V20" s="5"/>
      <c r="W20" s="4"/>
      <c r="X20" s="3"/>
      <c r="Y20" s="2"/>
      <c r="AA20" s="22" t="s">
        <v>5</v>
      </c>
      <c r="AB20" s="22" t="s">
        <v>10</v>
      </c>
      <c r="AC20" s="22" t="s">
        <v>11</v>
      </c>
      <c r="AD20" s="22" t="s">
        <v>12</v>
      </c>
      <c r="AE20" s="22" t="s">
        <v>13</v>
      </c>
      <c r="AF20" s="22" t="s">
        <v>14</v>
      </c>
      <c r="AG20" s="22" t="s">
        <v>15</v>
      </c>
      <c r="AH20" s="22" t="s">
        <v>77</v>
      </c>
      <c r="AI20" s="39"/>
      <c r="AJ20" s="25" t="s">
        <v>20</v>
      </c>
      <c r="AK20" s="25" t="s">
        <v>21</v>
      </c>
      <c r="AL20" s="25" t="s">
        <v>22</v>
      </c>
      <c r="AM20" s="25" t="s">
        <v>52</v>
      </c>
      <c r="AN20" s="25" t="s">
        <v>23</v>
      </c>
    </row>
    <row r="21" spans="2:40" x14ac:dyDescent="0.4">
      <c r="B21" s="2"/>
      <c r="C21" s="3"/>
      <c r="D21" s="4"/>
      <c r="E21" s="5"/>
      <c r="H21" s="21">
        <v>1</v>
      </c>
      <c r="I21" s="12">
        <f>AN21</f>
        <v>9</v>
      </c>
      <c r="J21" s="83" t="str">
        <f ca="1">_xlfn.FORMULATEXT(L21)</f>
        <v>=COUNTIF(J11:J17,"&lt;&lt;")</v>
      </c>
      <c r="K21" s="84"/>
      <c r="L21" s="12">
        <f t="shared" ref="L21:N21" si="0">COUNTIF(J11:J17,"&lt;&lt;")</f>
        <v>0</v>
      </c>
      <c r="M21" s="20">
        <f t="shared" si="0"/>
        <v>7</v>
      </c>
      <c r="N21" s="12">
        <f t="shared" si="0"/>
        <v>7</v>
      </c>
      <c r="O21" s="21">
        <f t="shared" ref="O21" si="1">COUNTIF(M11:M17,"&lt;&lt;")</f>
        <v>7</v>
      </c>
      <c r="P21" s="12">
        <f>COUNTIF(N11:N17,"&lt;&lt;")</f>
        <v>0</v>
      </c>
      <c r="Q21" s="12">
        <f>COUNTIF(O11:O17,"&lt;&lt;")</f>
        <v>0</v>
      </c>
      <c r="R21" s="21">
        <f>COUNTIF(P11:P17,"&lt;&lt;")</f>
        <v>0</v>
      </c>
      <c r="S21" s="21">
        <f>COUNTIF(Q11:Q17,"&lt;&lt;")</f>
        <v>0</v>
      </c>
      <c r="T21"/>
      <c r="U21"/>
      <c r="V21" s="5"/>
      <c r="W21" s="4"/>
      <c r="X21" s="3"/>
      <c r="Y21" s="2"/>
      <c r="AA21" s="21" t="str" cm="1">
        <f t="array" ref="AA21:AH35">IF(L21:S35=7,AA20:AH20,"")</f>
        <v/>
      </c>
      <c r="AB21" s="21" t="str">
        <v>B</v>
      </c>
      <c r="AC21" s="21" t="str">
        <v>C</v>
      </c>
      <c r="AD21" s="12" t="str">
        <v>D</v>
      </c>
      <c r="AE21" s="21" t="str">
        <v/>
      </c>
      <c r="AF21" s="21" t="str">
        <v/>
      </c>
      <c r="AG21" s="21" t="str">
        <v/>
      </c>
      <c r="AH21" s="21" t="str">
        <v/>
      </c>
      <c r="AJ21" s="12" t="str">
        <f>_xlfn.TEXTJOIN("",TRUE,AA21:AH21)</f>
        <v>BCD</v>
      </c>
      <c r="AK21" s="12" cm="1">
        <f t="array" ref="AK21">INDEX($H$21:$H$35,SMALL(IF($AJ$21:$AJ$35=AJ21,ROW($AJ$21:$AJ$35)-ROW(INDEX($AJ$21:$AJ$35,1,1))+1),1))</f>
        <v>1</v>
      </c>
      <c r="AL21" s="12" cm="1">
        <f t="array" ref="AL21">INDEX($H$21:$H$35,SMALL(IF($AJ$21:$AJ$35=AJ21,ROW($AJ$21:$AJ$35)-ROW(INDEX($AJ$21:$AJ$35,1,1))+1),2))</f>
        <v>9</v>
      </c>
      <c r="AM21" s="21" t="e" cm="1">
        <f t="array" ref="AM21">INDEX($H$21:$H$35,SMALL(IF($AJ$21:$AJ$35=AJ21,ROW($AJ$21:$AJ$35)-ROW(INDEX($AJ$21:$AJ$35,1,1))+1),3))</f>
        <v>#NUM!</v>
      </c>
      <c r="AN21" s="21">
        <f t="shared" ref="AN21:AN28" si="2">IF(COUNTIF($AJ$21:$AJ$35,AJ21)=2,IF(H21=AK21,AL21,AK21),
IF(COUNTIF($AJ$21:$AJ$35,AJ21)=3,IF(H21=AK21,_xlfn.TEXTJOIN(" and ",TRUE,AL21,AM21),IF(H21=AL21,_xlfn.TEXTJOIN(" and ",TRUE,AK21,AM21),_xlfn.TEXTJOIN(" and ",TRUE,AK21,AL21))),""))</f>
        <v>9</v>
      </c>
    </row>
    <row r="22" spans="2:40" x14ac:dyDescent="0.4">
      <c r="B22" s="2"/>
      <c r="C22" s="3"/>
      <c r="D22" s="4"/>
      <c r="E22" s="5"/>
      <c r="H22" s="21">
        <v>2</v>
      </c>
      <c r="I22" s="21" t="str">
        <f t="shared" ref="I22:I33" si="3">AN22</f>
        <v>4 and 10</v>
      </c>
      <c r="J22" s="83" t="str">
        <f t="shared" ref="J22:J35" ca="1" si="4">_xlfn.FORMULATEXT(L22)</f>
        <v>=COUNTIF(J11:J17,"&gt;&gt;")</v>
      </c>
      <c r="K22" s="84"/>
      <c r="L22" s="12">
        <f>COUNTIF(J11:J17,"&gt;&gt;")</f>
        <v>0</v>
      </c>
      <c r="M22" s="20">
        <f t="shared" ref="M22:N22" si="5">COUNTIF(K11:K17,"&gt;&gt;")</f>
        <v>0</v>
      </c>
      <c r="N22" s="12">
        <f t="shared" si="5"/>
        <v>0</v>
      </c>
      <c r="O22" s="21">
        <f t="shared" ref="O22" si="6">COUNTIF(M11:M17,"&gt;&gt;")</f>
        <v>0</v>
      </c>
      <c r="P22" s="12">
        <f>COUNTIF(N11:N17,"&gt;&gt;")</f>
        <v>0</v>
      </c>
      <c r="Q22" s="12">
        <f>COUNTIF(O11:O17,"&gt;&gt;")</f>
        <v>7</v>
      </c>
      <c r="R22" s="21">
        <f>COUNTIF(P11:P17,"&gt;&gt;")</f>
        <v>0</v>
      </c>
      <c r="S22" s="21">
        <f>COUNTIF(Q11:Q17,"&gt;&gt;")</f>
        <v>7</v>
      </c>
      <c r="T22"/>
      <c r="U22"/>
      <c r="V22" s="5"/>
      <c r="W22" s="4"/>
      <c r="X22" s="3"/>
      <c r="Y22" s="2"/>
      <c r="AA22" s="21" t="str">
        <v/>
      </c>
      <c r="AB22" s="21" t="str">
        <v/>
      </c>
      <c r="AC22" s="21" t="str">
        <v/>
      </c>
      <c r="AD22" s="12" t="str">
        <v/>
      </c>
      <c r="AE22" s="21" t="str">
        <v/>
      </c>
      <c r="AF22" s="21" t="str">
        <v>F</v>
      </c>
      <c r="AG22" s="21" t="str">
        <v/>
      </c>
      <c r="AH22" s="21" t="str">
        <v>H</v>
      </c>
      <c r="AJ22" s="21" t="str">
        <f t="shared" ref="AJ22:AJ35" si="7">_xlfn.TEXTJOIN("",TRUE,AA22:AH22)</f>
        <v>FH</v>
      </c>
      <c r="AK22" s="21" cm="1">
        <f t="array" ref="AK22">INDEX($H$21:$H$35,SMALL(IF($AJ$21:$AJ$35=AJ22,ROW($AJ$21:$AJ$35)-ROW(INDEX($AJ$21:$AJ$35,1,1))+1),1))</f>
        <v>2</v>
      </c>
      <c r="AL22" s="21" cm="1">
        <f t="array" ref="AL22">INDEX($H$21:$H$35,SMALL(IF($AJ$21:$AJ$35=AJ22,ROW($AJ$21:$AJ$35)-ROW(INDEX($AJ$21:$AJ$35,1,1))+1),2))</f>
        <v>4</v>
      </c>
      <c r="AM22" s="21" cm="1">
        <f t="array" ref="AM22">INDEX($H$21:$H$35,SMALL(IF($AJ$21:$AJ$35=AJ22,ROW($AJ$21:$AJ$35)-ROW(INDEX($AJ$21:$AJ$35,1,1))+1),3))</f>
        <v>10</v>
      </c>
      <c r="AN22" s="21" t="str">
        <f t="shared" si="2"/>
        <v>4 and 10</v>
      </c>
    </row>
    <row r="23" spans="2:40" x14ac:dyDescent="0.4">
      <c r="B23" s="2"/>
      <c r="C23" s="3"/>
      <c r="D23" s="4"/>
      <c r="E23" s="5"/>
      <c r="H23" s="21">
        <v>3</v>
      </c>
      <c r="I23" s="21">
        <f t="shared" si="3"/>
        <v>12</v>
      </c>
      <c r="J23" s="83" t="str">
        <f t="shared" ca="1" si="4"/>
        <v>=COUNTIF(J11:J17,"&lt;&gt;")</v>
      </c>
      <c r="K23" s="84"/>
      <c r="L23" s="12">
        <f t="shared" ref="L23:N23" si="8">COUNTIF(J11:J17,"&lt;&gt;")</f>
        <v>0</v>
      </c>
      <c r="M23" s="20">
        <f t="shared" si="8"/>
        <v>7</v>
      </c>
      <c r="N23" s="12">
        <f t="shared" si="8"/>
        <v>7</v>
      </c>
      <c r="O23" s="21">
        <f t="shared" ref="O23" si="9">COUNTIF(M11:M17,"&lt;&gt;")</f>
        <v>7</v>
      </c>
      <c r="P23" s="12">
        <f>COUNTIF(N11:N17,"&lt;&gt;")</f>
        <v>7</v>
      </c>
      <c r="Q23" s="12">
        <f>COUNTIF(O11:O17,"&lt;&gt;")</f>
        <v>7</v>
      </c>
      <c r="R23" s="21">
        <f>COUNTIF(P11:P17,"&lt;&gt;")</f>
        <v>7</v>
      </c>
      <c r="S23" s="21">
        <f>COUNTIF(Q11:Q17,"&lt;&gt;")</f>
        <v>7</v>
      </c>
      <c r="T23"/>
      <c r="U23"/>
      <c r="V23" s="5"/>
      <c r="W23" s="4"/>
      <c r="X23" s="3"/>
      <c r="Y23" s="2"/>
      <c r="AA23" s="21" t="str">
        <v/>
      </c>
      <c r="AB23" s="21" t="str">
        <v>B</v>
      </c>
      <c r="AC23" s="21" t="str">
        <v>C</v>
      </c>
      <c r="AD23" s="12" t="str">
        <v>D</v>
      </c>
      <c r="AE23" s="21" t="str">
        <v>E</v>
      </c>
      <c r="AF23" s="21" t="str">
        <v>F</v>
      </c>
      <c r="AG23" s="21" t="str">
        <v>G</v>
      </c>
      <c r="AH23" s="21" t="str">
        <v>H</v>
      </c>
      <c r="AJ23" s="21" t="str">
        <f t="shared" si="7"/>
        <v>BCDEFGH</v>
      </c>
      <c r="AK23" s="21" cm="1">
        <f t="array" ref="AK23">INDEX($H$21:$H$35,SMALL(IF($AJ$21:$AJ$35=AJ23,ROW($AJ$21:$AJ$35)-ROW(INDEX($AJ$21:$AJ$35,1,1))+1),1))</f>
        <v>3</v>
      </c>
      <c r="AL23" s="21" cm="1">
        <f t="array" ref="AL23">INDEX($H$21:$H$35,SMALL(IF($AJ$21:$AJ$35=AJ23,ROW($AJ$21:$AJ$35)-ROW(INDEX($AJ$21:$AJ$35,1,1))+1),2))</f>
        <v>12</v>
      </c>
      <c r="AM23" s="21" t="e" cm="1">
        <f t="array" ref="AM23">INDEX($H$21:$H$35,SMALL(IF($AJ$21:$AJ$35=AJ23,ROW($AJ$21:$AJ$35)-ROW(INDEX($AJ$21:$AJ$35,1,1))+1),3))</f>
        <v>#NUM!</v>
      </c>
      <c r="AN23" s="21">
        <f t="shared" si="2"/>
        <v>12</v>
      </c>
    </row>
    <row r="24" spans="2:40" x14ac:dyDescent="0.4">
      <c r="B24" s="2"/>
      <c r="C24" s="3"/>
      <c r="D24" s="4"/>
      <c r="E24" s="5"/>
      <c r="H24" s="21">
        <v>4</v>
      </c>
      <c r="I24" s="21" t="str">
        <f t="shared" si="3"/>
        <v>2 and 10</v>
      </c>
      <c r="J24" s="83" t="str">
        <f t="shared" ca="1" si="4"/>
        <v>=COUNTIF(J11:J17,"&gt;&lt;")</v>
      </c>
      <c r="K24" s="84"/>
      <c r="L24" s="12">
        <f t="shared" ref="L24:N24" si="10">COUNTIF(J11:J17,"&gt;&lt;")</f>
        <v>0</v>
      </c>
      <c r="M24" s="20">
        <f t="shared" si="10"/>
        <v>0</v>
      </c>
      <c r="N24" s="12">
        <f t="shared" si="10"/>
        <v>0</v>
      </c>
      <c r="O24" s="21">
        <f t="shared" ref="O24" si="11">COUNTIF(M11:M17,"&gt;&lt;")</f>
        <v>0</v>
      </c>
      <c r="P24" s="12">
        <f>COUNTIF(N11:N17,"&gt;&lt;")</f>
        <v>0</v>
      </c>
      <c r="Q24" s="12">
        <f>COUNTIF(O11:O17,"&gt;&lt;")</f>
        <v>7</v>
      </c>
      <c r="R24" s="21">
        <f>COUNTIF(P11:P17,"&gt;&lt;")</f>
        <v>0</v>
      </c>
      <c r="S24" s="21">
        <f>COUNTIF(Q11:Q17,"&gt;&lt;")</f>
        <v>7</v>
      </c>
      <c r="T24"/>
      <c r="U24"/>
      <c r="V24" s="5"/>
      <c r="W24" s="4"/>
      <c r="X24" s="3"/>
      <c r="Y24" s="2"/>
      <c r="AA24" s="21" t="str">
        <v/>
      </c>
      <c r="AB24" s="21" t="str">
        <v/>
      </c>
      <c r="AC24" s="21" t="str">
        <v/>
      </c>
      <c r="AD24" s="12" t="str">
        <v/>
      </c>
      <c r="AE24" s="21" t="str">
        <v/>
      </c>
      <c r="AF24" s="21" t="str">
        <v>F</v>
      </c>
      <c r="AG24" s="21" t="str">
        <v/>
      </c>
      <c r="AH24" s="21" t="str">
        <v>H</v>
      </c>
      <c r="AJ24" s="21" t="str">
        <f t="shared" si="7"/>
        <v>FH</v>
      </c>
      <c r="AK24" s="21" cm="1">
        <f t="array" ref="AK24">INDEX($H$21:$H$35,SMALL(IF($AJ$21:$AJ$35=AJ24,ROW($AJ$21:$AJ$35)-ROW(INDEX($AJ$21:$AJ$35,1,1))+1),1))</f>
        <v>2</v>
      </c>
      <c r="AL24" s="21" cm="1">
        <f t="array" ref="AL24">INDEX($H$21:$H$35,SMALL(IF($AJ$21:$AJ$35=AJ24,ROW($AJ$21:$AJ$35)-ROW(INDEX($AJ$21:$AJ$35,1,1))+1),2))</f>
        <v>4</v>
      </c>
      <c r="AM24" s="21" cm="1">
        <f t="array" ref="AM24">INDEX($H$21:$H$35,SMALL(IF($AJ$21:$AJ$35=AJ24,ROW($AJ$21:$AJ$35)-ROW(INDEX($AJ$21:$AJ$35,1,1))+1),3))</f>
        <v>10</v>
      </c>
      <c r="AN24" s="21" t="str">
        <f t="shared" si="2"/>
        <v>2 and 10</v>
      </c>
    </row>
    <row r="25" spans="2:40" x14ac:dyDescent="0.4">
      <c r="B25" s="2"/>
      <c r="C25" s="3"/>
      <c r="D25" s="4"/>
      <c r="E25" s="5"/>
      <c r="H25" s="21">
        <v>5</v>
      </c>
      <c r="I25" s="21" t="str">
        <f t="shared" si="3"/>
        <v/>
      </c>
      <c r="J25" s="83" t="str">
        <f t="shared" ca="1" si="4"/>
        <v>=COUNTIF(J11:J17," ")</v>
      </c>
      <c r="K25" s="84"/>
      <c r="L25" s="12">
        <f t="shared" ref="L25:N25" si="12">COUNTIF(J11:J17," ")</f>
        <v>0</v>
      </c>
      <c r="M25" s="20">
        <f t="shared" si="12"/>
        <v>0</v>
      </c>
      <c r="N25" s="12">
        <f t="shared" si="12"/>
        <v>7</v>
      </c>
      <c r="O25" s="21">
        <f t="shared" ref="O25" si="13">COUNTIF(M11:M17," ")</f>
        <v>0</v>
      </c>
      <c r="P25" s="12">
        <f>COUNTIF(N11:N17," ")</f>
        <v>0</v>
      </c>
      <c r="Q25" s="12">
        <f>COUNTIF(O11:O17," ")</f>
        <v>0</v>
      </c>
      <c r="R25" s="21">
        <f>COUNTIF(P11:P17," ")</f>
        <v>0</v>
      </c>
      <c r="S25" s="21">
        <f>COUNTIF(Q11:Q17," ")</f>
        <v>0</v>
      </c>
      <c r="T25"/>
      <c r="U25"/>
      <c r="V25" s="5"/>
      <c r="W25" s="4"/>
      <c r="X25" s="3"/>
      <c r="Y25" s="2"/>
      <c r="AA25" s="21" t="str">
        <v/>
      </c>
      <c r="AB25" s="21" t="str">
        <v/>
      </c>
      <c r="AC25" s="21" t="str">
        <v>C</v>
      </c>
      <c r="AD25" s="12" t="str">
        <v/>
      </c>
      <c r="AE25" s="21" t="str">
        <v/>
      </c>
      <c r="AF25" s="21" t="str">
        <v/>
      </c>
      <c r="AG25" s="21" t="str">
        <v/>
      </c>
      <c r="AH25" s="21" t="str">
        <v/>
      </c>
      <c r="AJ25" s="21" t="str">
        <f t="shared" si="7"/>
        <v>C</v>
      </c>
      <c r="AK25" s="21" cm="1">
        <f t="array" ref="AK25">INDEX($H$21:$H$35,SMALL(IF($AJ$21:$AJ$35=AJ25,ROW($AJ$21:$AJ$35)-ROW(INDEX($AJ$21:$AJ$35,1,1))+1),1))</f>
        <v>5</v>
      </c>
      <c r="AL25" s="21" t="e" cm="1">
        <f t="array" ref="AL25">INDEX($H$21:$H$35,SMALL(IF($AJ$21:$AJ$35=AJ25,ROW($AJ$21:$AJ$35)-ROW(INDEX($AJ$21:$AJ$35,1,1))+1),2))</f>
        <v>#NUM!</v>
      </c>
      <c r="AM25" s="21" t="e" cm="1">
        <f t="array" ref="AM25">INDEX($H$21:$H$35,SMALL(IF($AJ$21:$AJ$35=AJ25,ROW($AJ$21:$AJ$35)-ROW(INDEX($AJ$21:$AJ$35,1,1))+1),3))</f>
        <v>#NUM!</v>
      </c>
      <c r="AN25" s="21" t="str">
        <f t="shared" si="2"/>
        <v/>
      </c>
    </row>
    <row r="26" spans="2:40" x14ac:dyDescent="0.4">
      <c r="B26" s="2"/>
      <c r="C26" s="3"/>
      <c r="D26" s="4"/>
      <c r="E26" s="5"/>
      <c r="H26" s="21">
        <v>6</v>
      </c>
      <c r="I26" s="21">
        <f t="shared" si="3"/>
        <v>13</v>
      </c>
      <c r="J26" s="83" t="str">
        <f t="shared" ca="1" si="4"/>
        <v>=COUNTIF(J11:J17,"")</v>
      </c>
      <c r="K26" s="84"/>
      <c r="L26" s="12">
        <f t="shared" ref="L26:N26" si="14">COUNTIF(J11:J17,"")</f>
        <v>7</v>
      </c>
      <c r="M26" s="20">
        <f t="shared" si="14"/>
        <v>7</v>
      </c>
      <c r="N26" s="12">
        <f t="shared" si="14"/>
        <v>0</v>
      </c>
      <c r="O26" s="21">
        <f t="shared" ref="O26" si="15">COUNTIF(M11:M17,"")</f>
        <v>7</v>
      </c>
      <c r="P26" s="12">
        <f>COUNTIF(N11:N17,"")</f>
        <v>0</v>
      </c>
      <c r="Q26" s="12">
        <f>COUNTIF(O11:O17,"")</f>
        <v>0</v>
      </c>
      <c r="R26" s="21">
        <f>COUNTIF(P11:P17,"")</f>
        <v>0</v>
      </c>
      <c r="S26" s="21">
        <f>COUNTIF(Q11:Q17,"")</f>
        <v>0</v>
      </c>
      <c r="T26"/>
      <c r="U26"/>
      <c r="V26" s="5"/>
      <c r="W26" s="4"/>
      <c r="X26" s="3"/>
      <c r="Y26" s="2"/>
      <c r="AA26" s="21" t="str">
        <v>A</v>
      </c>
      <c r="AB26" s="21" t="str">
        <v>B</v>
      </c>
      <c r="AC26" s="21" t="str">
        <v/>
      </c>
      <c r="AD26" s="12" t="str">
        <v>D</v>
      </c>
      <c r="AE26" s="21" t="str">
        <v/>
      </c>
      <c r="AF26" s="21" t="str">
        <v/>
      </c>
      <c r="AG26" s="21" t="str">
        <v/>
      </c>
      <c r="AH26" s="21" t="str">
        <v/>
      </c>
      <c r="AJ26" s="21" t="str">
        <f t="shared" si="7"/>
        <v>ABD</v>
      </c>
      <c r="AK26" s="21" cm="1">
        <f t="array" ref="AK26">INDEX($H$21:$H$35,SMALL(IF($AJ$21:$AJ$35=AJ26,ROW($AJ$21:$AJ$35)-ROW(INDEX($AJ$21:$AJ$35,1,1))+1),1))</f>
        <v>6</v>
      </c>
      <c r="AL26" s="21" cm="1">
        <f t="array" ref="AL26">INDEX($H$21:$H$35,SMALL(IF($AJ$21:$AJ$35=AJ26,ROW($AJ$21:$AJ$35)-ROW(INDEX($AJ$21:$AJ$35,1,1))+1),2))</f>
        <v>13</v>
      </c>
      <c r="AM26" s="21" t="e" cm="1">
        <f t="array" ref="AM26">INDEX($H$21:$H$35,SMALL(IF($AJ$21:$AJ$35=AJ26,ROW($AJ$21:$AJ$35)-ROW(INDEX($AJ$21:$AJ$35,1,1))+1),3))</f>
        <v>#NUM!</v>
      </c>
      <c r="AN26" s="21">
        <f t="shared" si="2"/>
        <v>13</v>
      </c>
    </row>
    <row r="27" spans="2:40" x14ac:dyDescent="0.4">
      <c r="B27" s="2"/>
      <c r="C27" s="3"/>
      <c r="D27" s="4"/>
      <c r="E27" s="5"/>
      <c r="H27" s="21">
        <v>7</v>
      </c>
      <c r="I27" s="21" t="str">
        <f t="shared" si="3"/>
        <v/>
      </c>
      <c r="J27" s="83" t="str">
        <f t="shared" ca="1" si="4"/>
        <v>=COUNTIF(J11:J17,"*")</v>
      </c>
      <c r="K27" s="84"/>
      <c r="L27" s="12">
        <f t="shared" ref="L27:N27" si="16">COUNTIF(J11:J17,"*")</f>
        <v>0</v>
      </c>
      <c r="M27" s="20">
        <f t="shared" si="16"/>
        <v>7</v>
      </c>
      <c r="N27" s="12">
        <f t="shared" si="16"/>
        <v>7</v>
      </c>
      <c r="O27" s="21">
        <f t="shared" ref="O27" si="17">COUNTIF(M11:M17,"*")</f>
        <v>7</v>
      </c>
      <c r="P27" s="12">
        <f>COUNTIF(N11:N17,"*")</f>
        <v>0</v>
      </c>
      <c r="Q27" s="12">
        <f>COUNTIF(O11:O17,"*")</f>
        <v>7</v>
      </c>
      <c r="R27" s="21">
        <f>COUNTIF(P11:P17,"*")</f>
        <v>0</v>
      </c>
      <c r="S27" s="21">
        <f>COUNTIF(Q11:Q17,"*")</f>
        <v>7</v>
      </c>
      <c r="T27"/>
      <c r="U27"/>
      <c r="V27" s="5"/>
      <c r="W27" s="4"/>
      <c r="X27" s="3"/>
      <c r="Y27" s="2"/>
      <c r="AA27" s="21" t="str">
        <v/>
      </c>
      <c r="AB27" s="21" t="str">
        <v>B</v>
      </c>
      <c r="AC27" s="21" t="str">
        <v>C</v>
      </c>
      <c r="AD27" s="12" t="str">
        <v>D</v>
      </c>
      <c r="AE27" s="21" t="str">
        <v/>
      </c>
      <c r="AF27" s="21" t="str">
        <v>F</v>
      </c>
      <c r="AG27" s="21" t="str">
        <v/>
      </c>
      <c r="AH27" s="21" t="str">
        <v>H</v>
      </c>
      <c r="AJ27" s="21" t="str">
        <f t="shared" si="7"/>
        <v>BCDFH</v>
      </c>
      <c r="AK27" s="21" cm="1">
        <f t="array" ref="AK27">INDEX($H$21:$H$35,SMALL(IF($AJ$21:$AJ$35=AJ27,ROW($AJ$21:$AJ$35)-ROW(INDEX($AJ$21:$AJ$35,1,1))+1),1))</f>
        <v>7</v>
      </c>
      <c r="AL27" s="21" t="e" cm="1">
        <f t="array" ref="AL27">INDEX($H$21:$H$35,SMALL(IF($AJ$21:$AJ$35=AJ27,ROW($AJ$21:$AJ$35)-ROW(INDEX($AJ$21:$AJ$35,1,1))+1),2))</f>
        <v>#NUM!</v>
      </c>
      <c r="AM27" s="21" t="e" cm="1">
        <f t="array" ref="AM27">INDEX($H$21:$H$35,SMALL(IF($AJ$21:$AJ$35=AJ27,ROW($AJ$21:$AJ$35)-ROW(INDEX($AJ$21:$AJ$35,1,1))+1),3))</f>
        <v>#NUM!</v>
      </c>
      <c r="AN27" s="21" t="str">
        <f t="shared" si="2"/>
        <v/>
      </c>
    </row>
    <row r="28" spans="2:40" x14ac:dyDescent="0.4">
      <c r="B28" s="2"/>
      <c r="C28" s="3"/>
      <c r="D28" s="4"/>
      <c r="E28" s="5"/>
      <c r="H28" s="21">
        <v>8</v>
      </c>
      <c r="I28" s="21" t="str">
        <f t="shared" si="3"/>
        <v/>
      </c>
      <c r="J28" s="83" t="str">
        <f t="shared" ca="1" si="4"/>
        <v>=COUNTIF(J11:J17,"*?")</v>
      </c>
      <c r="K28" s="84"/>
      <c r="L28" s="12">
        <f t="shared" ref="L28:N28" si="18">COUNTIF(J11:J17,"*?")</f>
        <v>0</v>
      </c>
      <c r="M28" s="20">
        <f t="shared" si="18"/>
        <v>0</v>
      </c>
      <c r="N28" s="12">
        <f t="shared" si="18"/>
        <v>7</v>
      </c>
      <c r="O28" s="21">
        <f t="shared" ref="O28" si="19">COUNTIF(M11:M17,"*?")</f>
        <v>0</v>
      </c>
      <c r="P28" s="12">
        <f>COUNTIF(N11:N17,"*?")</f>
        <v>0</v>
      </c>
      <c r="Q28" s="12">
        <f>COUNTIF(O11:O17,"*?")</f>
        <v>7</v>
      </c>
      <c r="R28" s="21">
        <f>COUNTIF(P11:P17,"*?")</f>
        <v>0</v>
      </c>
      <c r="S28" s="21">
        <f>COUNTIF(Q11:Q17,"*?")</f>
        <v>7</v>
      </c>
      <c r="T28"/>
      <c r="U28"/>
      <c r="V28" s="5"/>
      <c r="W28" s="4"/>
      <c r="X28" s="3"/>
      <c r="Y28" s="2"/>
      <c r="AA28" s="21" t="str">
        <v/>
      </c>
      <c r="AB28" s="21" t="str">
        <v/>
      </c>
      <c r="AC28" s="21" t="str">
        <v>C</v>
      </c>
      <c r="AD28" s="12" t="str">
        <v/>
      </c>
      <c r="AE28" s="21" t="str">
        <v/>
      </c>
      <c r="AF28" s="21" t="str">
        <v>F</v>
      </c>
      <c r="AG28" s="21" t="str">
        <v/>
      </c>
      <c r="AH28" s="21" t="str">
        <v>H</v>
      </c>
      <c r="AJ28" s="21" t="str">
        <f t="shared" si="7"/>
        <v>CFH</v>
      </c>
      <c r="AK28" s="21" cm="1">
        <f t="array" ref="AK28">INDEX($H$21:$H$35,SMALL(IF($AJ$21:$AJ$35=AJ28,ROW($AJ$21:$AJ$35)-ROW(INDEX($AJ$21:$AJ$35,1,1))+1),1))</f>
        <v>8</v>
      </c>
      <c r="AL28" s="21" t="e" cm="1">
        <f t="array" ref="AL28">INDEX($H$21:$H$35,SMALL(IF($AJ$21:$AJ$35=AJ28,ROW($AJ$21:$AJ$35)-ROW(INDEX($AJ$21:$AJ$35,1,1))+1),2))</f>
        <v>#NUM!</v>
      </c>
      <c r="AM28" s="21" t="e" cm="1">
        <f t="array" ref="AM28">INDEX($H$21:$H$35,SMALL(IF($AJ$21:$AJ$35=AJ28,ROW($AJ$21:$AJ$35)-ROW(INDEX($AJ$21:$AJ$35,1,1))+1),3))</f>
        <v>#NUM!</v>
      </c>
      <c r="AN28" s="21" t="str">
        <f t="shared" si="2"/>
        <v/>
      </c>
    </row>
    <row r="29" spans="2:40" x14ac:dyDescent="0.4">
      <c r="B29" s="2"/>
      <c r="C29" s="3"/>
      <c r="D29" s="4"/>
      <c r="E29" s="5"/>
      <c r="H29" s="21">
        <v>9</v>
      </c>
      <c r="I29" s="21">
        <f t="shared" si="3"/>
        <v>1</v>
      </c>
      <c r="J29" s="83" t="str">
        <f t="shared" ref="J29:J30" ca="1" si="20">_xlfn.FORMULATEXT(L29)</f>
        <v>=COUNTIF(J11:J17,"&lt;*")</v>
      </c>
      <c r="K29" s="84"/>
      <c r="L29" s="21">
        <f t="shared" ref="L29:N29" si="21">COUNTIF(J11:J17,"&lt;*")</f>
        <v>0</v>
      </c>
      <c r="M29" s="21">
        <f t="shared" si="21"/>
        <v>7</v>
      </c>
      <c r="N29" s="21">
        <f t="shared" si="21"/>
        <v>7</v>
      </c>
      <c r="O29" s="21">
        <f t="shared" ref="O29" si="22">COUNTIF(M11:M17,"&lt;*")</f>
        <v>7</v>
      </c>
      <c r="P29" s="21">
        <f>COUNTIF(N11:N17,"&lt;*")</f>
        <v>0</v>
      </c>
      <c r="Q29" s="21">
        <f>COUNTIF(O11:O17,"&lt;*")</f>
        <v>0</v>
      </c>
      <c r="R29" s="21">
        <f>COUNTIF(P11:P17,"&lt;*")</f>
        <v>0</v>
      </c>
      <c r="S29" s="21">
        <f>COUNTIF(Q11:Q17,"&lt;*")</f>
        <v>0</v>
      </c>
      <c r="T29"/>
      <c r="U29"/>
      <c r="V29" s="5"/>
      <c r="W29" s="4"/>
      <c r="X29" s="3"/>
      <c r="Y29" s="2"/>
      <c r="AA29" s="21" t="str">
        <v/>
      </c>
      <c r="AB29" s="21" t="str">
        <v>B</v>
      </c>
      <c r="AC29" s="21" t="str">
        <v>C</v>
      </c>
      <c r="AD29" s="12" t="str">
        <v>D</v>
      </c>
      <c r="AE29" s="21" t="str">
        <v/>
      </c>
      <c r="AF29" s="21" t="str">
        <v/>
      </c>
      <c r="AG29" s="21" t="str">
        <v/>
      </c>
      <c r="AH29" s="21" t="str">
        <v/>
      </c>
      <c r="AJ29" s="21" t="str">
        <f t="shared" si="7"/>
        <v>BCD</v>
      </c>
      <c r="AK29" s="21" cm="1">
        <f t="array" ref="AK29">INDEX($H$21:$H$35,SMALL(IF($AJ$21:$AJ$35=AJ29,ROW($AJ$21:$AJ$35)-ROW(INDEX($AJ$21:$AJ$35,1,1))+1),1))</f>
        <v>1</v>
      </c>
      <c r="AL29" s="21" cm="1">
        <f t="array" ref="AL29">INDEX($H$21:$H$35,SMALL(IF($AJ$21:$AJ$35=AJ29,ROW($AJ$21:$AJ$35)-ROW(INDEX($AJ$21:$AJ$35,1,1))+1),2))</f>
        <v>9</v>
      </c>
      <c r="AM29" s="21" t="e" cm="1">
        <f t="array" ref="AM29">INDEX($H$21:$H$35,SMALL(IF($AJ$21:$AJ$35=AJ29,ROW($AJ$21:$AJ$35)-ROW(INDEX($AJ$21:$AJ$35,1,1))+1),3))</f>
        <v>#NUM!</v>
      </c>
      <c r="AN29" s="21">
        <f>IF(COUNTIF($AJ$21:$AJ$35,AJ29)=2,IF(H31=AK29,AL29,AK29),
IF(COUNTIF($AJ$21:$AJ$35,AJ29)=3,IF(H31=AK29,_xlfn.TEXTJOIN(" and ",TRUE,AL29,AM29),IF(H31=AL29,_xlfn.TEXTJOIN(" and ",TRUE,AK29,AM29),_xlfn.TEXTJOIN(" and ",TRUE,AK29,AL29))),""))</f>
        <v>1</v>
      </c>
    </row>
    <row r="30" spans="2:40" x14ac:dyDescent="0.4">
      <c r="B30" s="2"/>
      <c r="C30" s="3"/>
      <c r="D30" s="4"/>
      <c r="E30" s="5"/>
      <c r="H30" s="21">
        <v>10</v>
      </c>
      <c r="I30" s="21" t="str">
        <f t="shared" si="3"/>
        <v>2 and 4</v>
      </c>
      <c r="J30" s="83" t="str">
        <f t="shared" ca="1" si="20"/>
        <v>=COUNTIF(J11:J17,"&gt;*")</v>
      </c>
      <c r="K30" s="84"/>
      <c r="L30" s="21">
        <f t="shared" ref="L30:N30" si="23">COUNTIF(J11:J17,"&gt;*")</f>
        <v>0</v>
      </c>
      <c r="M30" s="21">
        <f t="shared" si="23"/>
        <v>0</v>
      </c>
      <c r="N30" s="21">
        <f t="shared" si="23"/>
        <v>0</v>
      </c>
      <c r="O30" s="21">
        <f t="shared" ref="O30" si="24">COUNTIF(M11:M17,"&gt;*")</f>
        <v>0</v>
      </c>
      <c r="P30" s="21">
        <f>COUNTIF(N11:N17,"&gt;*")</f>
        <v>0</v>
      </c>
      <c r="Q30" s="21">
        <f>COUNTIF(O11:O17,"&gt;*")</f>
        <v>7</v>
      </c>
      <c r="R30" s="21">
        <f>COUNTIF(P11:P17,"&gt;*")</f>
        <v>0</v>
      </c>
      <c r="S30" s="21">
        <f>COUNTIF(Q11:Q17,"&gt;*")</f>
        <v>7</v>
      </c>
      <c r="T30"/>
      <c r="U30"/>
      <c r="V30" s="5"/>
      <c r="W30" s="4"/>
      <c r="X30" s="3"/>
      <c r="Y30" s="2"/>
      <c r="AA30" s="21" t="str">
        <v/>
      </c>
      <c r="AB30" s="21" t="str">
        <v/>
      </c>
      <c r="AC30" s="21" t="str">
        <v/>
      </c>
      <c r="AD30" s="12" t="str">
        <v/>
      </c>
      <c r="AE30" s="21" t="str">
        <v/>
      </c>
      <c r="AF30" s="21" t="str">
        <v>F</v>
      </c>
      <c r="AG30" s="21" t="str">
        <v/>
      </c>
      <c r="AH30" s="21" t="str">
        <v>H</v>
      </c>
      <c r="AJ30" s="21" t="str">
        <f t="shared" si="7"/>
        <v>FH</v>
      </c>
      <c r="AK30" s="21" cm="1">
        <f t="array" ref="AK30">INDEX($H$21:$H$35,SMALL(IF($AJ$21:$AJ$35=AJ30,ROW($AJ$21:$AJ$35)-ROW(INDEX($AJ$21:$AJ$35,1,1))+1),1))</f>
        <v>2</v>
      </c>
      <c r="AL30" s="21" cm="1">
        <f t="array" ref="AL30">INDEX($H$21:$H$35,SMALL(IF($AJ$21:$AJ$35=AJ30,ROW($AJ$21:$AJ$35)-ROW(INDEX($AJ$21:$AJ$35,1,1))+1),2))</f>
        <v>4</v>
      </c>
      <c r="AM30" s="21" cm="1">
        <f t="array" ref="AM30">INDEX($H$21:$H$35,SMALL(IF($AJ$21:$AJ$35=AJ30,ROW($AJ$21:$AJ$35)-ROW(INDEX($AJ$21:$AJ$35,1,1))+1),3))</f>
        <v>10</v>
      </c>
      <c r="AN30" s="21" t="str">
        <f>IF(COUNTIF($AJ$21:$AJ$35,AJ30)=2,IF(H32=AK30,AL30,AK30),
IF(COUNTIF($AJ$21:$AJ$35,AJ30)=3,IF(H32=AK30,_xlfn.TEXTJOIN(" and ",TRUE,AL30,AM30),IF(H32=AL30,_xlfn.TEXTJOIN(" and ",TRUE,AK30,AM30),_xlfn.TEXTJOIN(" and ",TRUE,AK30,AL30))),""))</f>
        <v>2 and 4</v>
      </c>
    </row>
    <row r="31" spans="2:40" x14ac:dyDescent="0.4">
      <c r="B31" s="2"/>
      <c r="C31" s="3"/>
      <c r="D31" s="4"/>
      <c r="E31" s="5"/>
      <c r="H31" s="21">
        <v>11</v>
      </c>
      <c r="I31" s="21" t="str">
        <f t="shared" si="3"/>
        <v/>
      </c>
      <c r="J31" s="83" t="str">
        <f t="shared" ca="1" si="4"/>
        <v>=COUNT(J11:J17)</v>
      </c>
      <c r="K31" s="84"/>
      <c r="L31" s="12">
        <f t="shared" ref="L31:N31" si="25">COUNT(J11:J17)</f>
        <v>0</v>
      </c>
      <c r="M31" s="20">
        <f t="shared" si="25"/>
        <v>0</v>
      </c>
      <c r="N31" s="12">
        <f t="shared" si="25"/>
        <v>0</v>
      </c>
      <c r="O31" s="21">
        <f t="shared" ref="O31" si="26">COUNT(M11:M17)</f>
        <v>0</v>
      </c>
      <c r="P31" s="12">
        <f>COUNT(N11:N17)</f>
        <v>7</v>
      </c>
      <c r="Q31" s="12">
        <f>COUNT(O11:O17)</f>
        <v>0</v>
      </c>
      <c r="R31" s="21">
        <f>COUNT(P11:P17)</f>
        <v>7</v>
      </c>
      <c r="S31" s="21">
        <f>COUNT(Q11:Q17)</f>
        <v>0</v>
      </c>
      <c r="T31"/>
      <c r="U31"/>
      <c r="V31" s="5"/>
      <c r="W31" s="4"/>
      <c r="X31" s="3"/>
      <c r="Y31" s="2"/>
      <c r="AA31" s="21" t="str">
        <v/>
      </c>
      <c r="AB31" s="21" t="str">
        <v/>
      </c>
      <c r="AC31" s="21" t="str">
        <v/>
      </c>
      <c r="AD31" s="12" t="str">
        <v/>
      </c>
      <c r="AE31" s="21" t="str">
        <v>E</v>
      </c>
      <c r="AF31" s="21" t="str">
        <v/>
      </c>
      <c r="AG31" s="21" t="str">
        <v>G</v>
      </c>
      <c r="AH31" s="21" t="str">
        <v/>
      </c>
      <c r="AJ31" s="21" t="str">
        <f t="shared" si="7"/>
        <v>EG</v>
      </c>
      <c r="AK31" s="21" cm="1">
        <f t="array" ref="AK31">INDEX($H$21:$H$35,SMALL(IF($AJ$21:$AJ$35=AJ31,ROW($AJ$21:$AJ$35)-ROW(INDEX($AJ$21:$AJ$35,1,1))+1),1))</f>
        <v>11</v>
      </c>
      <c r="AL31" s="21" t="e" cm="1">
        <f t="array" ref="AL31">INDEX($H$21:$H$35,SMALL(IF($AJ$21:$AJ$35=AJ31,ROW($AJ$21:$AJ$35)-ROW(INDEX($AJ$21:$AJ$35,1,1))+1),2))</f>
        <v>#NUM!</v>
      </c>
      <c r="AM31" s="21" t="e" cm="1">
        <f t="array" ref="AM31">INDEX($H$21:$H$35,SMALL(IF($AJ$21:$AJ$35=AJ31,ROW($AJ$21:$AJ$35)-ROW(INDEX($AJ$21:$AJ$35,1,1))+1),3))</f>
        <v>#NUM!</v>
      </c>
      <c r="AN31" s="21" t="str">
        <f>IF(COUNTIF($AJ$21:$AJ$35,AJ31)=2,IF(H33=AK31,AL31,AK31),
IF(COUNTIF($AJ$21:$AJ$35,AJ31)=3,IF(H33=AK31,_xlfn.TEXTJOIN(" and ",TRUE,AL31,AM31),IF(H33=AL31,_xlfn.TEXTJOIN(" and ",TRUE,AK31,AM31),_xlfn.TEXTJOIN(" and ",TRUE,AK31,AL31))),""))</f>
        <v/>
      </c>
    </row>
    <row r="32" spans="2:40" x14ac:dyDescent="0.4">
      <c r="B32" s="2"/>
      <c r="C32" s="3"/>
      <c r="D32" s="4"/>
      <c r="E32" s="5"/>
      <c r="H32" s="21">
        <v>12</v>
      </c>
      <c r="I32" s="21">
        <f t="shared" si="3"/>
        <v>3</v>
      </c>
      <c r="J32" s="83" t="str">
        <f t="shared" ca="1" si="4"/>
        <v>=COUNTA(J11:J17)</v>
      </c>
      <c r="K32" s="84"/>
      <c r="L32" s="12">
        <f t="shared" ref="L32:N32" si="27">COUNTA(J11:J17)</f>
        <v>0</v>
      </c>
      <c r="M32" s="20">
        <f t="shared" si="27"/>
        <v>7</v>
      </c>
      <c r="N32" s="12">
        <f t="shared" si="27"/>
        <v>7</v>
      </c>
      <c r="O32" s="21">
        <f t="shared" ref="O32" si="28">COUNTA(M11:M17)</f>
        <v>7</v>
      </c>
      <c r="P32" s="12">
        <f>COUNTA(N11:N17)</f>
        <v>7</v>
      </c>
      <c r="Q32" s="12">
        <f>COUNTA(O11:O17)</f>
        <v>7</v>
      </c>
      <c r="R32" s="21">
        <f>COUNTA(P11:P17)</f>
        <v>7</v>
      </c>
      <c r="S32" s="21">
        <f>COUNTA(Q11:Q17)</f>
        <v>7</v>
      </c>
      <c r="T32"/>
      <c r="U32"/>
      <c r="V32" s="5"/>
      <c r="W32" s="4"/>
      <c r="X32" s="3"/>
      <c r="Y32" s="2"/>
      <c r="AA32" s="21" t="str">
        <v/>
      </c>
      <c r="AB32" s="21" t="str">
        <v>B</v>
      </c>
      <c r="AC32" s="21" t="str">
        <v>C</v>
      </c>
      <c r="AD32" s="12" t="str">
        <v>D</v>
      </c>
      <c r="AE32" s="21" t="str">
        <v>E</v>
      </c>
      <c r="AF32" s="21" t="str">
        <v>F</v>
      </c>
      <c r="AG32" s="21" t="str">
        <v>G</v>
      </c>
      <c r="AH32" s="21" t="str">
        <v>H</v>
      </c>
      <c r="AJ32" s="21" t="str">
        <f t="shared" si="7"/>
        <v>BCDEFGH</v>
      </c>
      <c r="AK32" s="21" cm="1">
        <f t="array" ref="AK32">INDEX($H$21:$H$35,SMALL(IF($AJ$21:$AJ$35=AJ32,ROW($AJ$21:$AJ$35)-ROW(INDEX($AJ$21:$AJ$35,1,1))+1),1))</f>
        <v>3</v>
      </c>
      <c r="AL32" s="21" cm="1">
        <f t="array" ref="AL32">INDEX($H$21:$H$35,SMALL(IF($AJ$21:$AJ$35=AJ32,ROW($AJ$21:$AJ$35)-ROW(INDEX($AJ$21:$AJ$35,1,1))+1),2))</f>
        <v>12</v>
      </c>
      <c r="AM32" s="21" t="e" cm="1">
        <f t="array" ref="AM32">INDEX($H$21:$H$35,SMALL(IF($AJ$21:$AJ$35=AJ32,ROW($AJ$21:$AJ$35)-ROW(INDEX($AJ$21:$AJ$35,1,1))+1),3))</f>
        <v>#NUM!</v>
      </c>
      <c r="AN32" s="21">
        <f>IF(COUNTIF($AJ$21:$AJ$35,AJ32)=2,IF(H35=AK32,AL32,AK32),
IF(COUNTIF($AJ$21:$AJ$35,AJ32)=3,IF(H35=AK32,_xlfn.TEXTJOIN(" and ",TRUE,AL32,AM32),IF(H35=AL32,_xlfn.TEXTJOIN(" and ",TRUE,AK32,AM32),_xlfn.TEXTJOIN(" and ",TRUE,AK32,AL32))),""))</f>
        <v>3</v>
      </c>
    </row>
    <row r="33" spans="2:40" x14ac:dyDescent="0.4">
      <c r="B33" s="2"/>
      <c r="C33" s="3"/>
      <c r="D33" s="4"/>
      <c r="E33" s="5"/>
      <c r="H33" s="21">
        <v>13</v>
      </c>
      <c r="I33" s="21">
        <f t="shared" si="3"/>
        <v>6</v>
      </c>
      <c r="J33" s="83" t="str">
        <f t="shared" ca="1" si="4"/>
        <v>=COUNTBLANK(J11:J17)</v>
      </c>
      <c r="K33" s="84"/>
      <c r="L33" s="12">
        <f t="shared" ref="L33:N33" si="29">COUNTBLANK(J11:J17)</f>
        <v>7</v>
      </c>
      <c r="M33" s="20">
        <f t="shared" si="29"/>
        <v>7</v>
      </c>
      <c r="N33" s="12">
        <f t="shared" si="29"/>
        <v>0</v>
      </c>
      <c r="O33" s="21">
        <f t="shared" ref="O33" si="30">COUNTBLANK(M11:M17)</f>
        <v>7</v>
      </c>
      <c r="P33" s="12">
        <f>COUNTBLANK(N11:N17)</f>
        <v>0</v>
      </c>
      <c r="Q33" s="12">
        <f>COUNTBLANK(O11:O17)</f>
        <v>0</v>
      </c>
      <c r="R33" s="21">
        <f>COUNTBLANK(P11:P17)</f>
        <v>0</v>
      </c>
      <c r="S33" s="21">
        <f>COUNTBLANK(Q11:Q17)</f>
        <v>0</v>
      </c>
      <c r="T33"/>
      <c r="U33"/>
      <c r="V33" s="5"/>
      <c r="W33" s="4"/>
      <c r="X33" s="3"/>
      <c r="Y33" s="2"/>
      <c r="AA33" s="21" t="str">
        <v>A</v>
      </c>
      <c r="AB33" s="21" t="str">
        <v>B</v>
      </c>
      <c r="AC33" s="21" t="str">
        <v/>
      </c>
      <c r="AD33" s="21" t="str">
        <v>D</v>
      </c>
      <c r="AE33" s="21" t="str">
        <v/>
      </c>
      <c r="AF33" s="21" t="str">
        <v/>
      </c>
      <c r="AG33" s="21" t="str">
        <v/>
      </c>
      <c r="AH33" s="21" t="str">
        <v/>
      </c>
      <c r="AJ33" s="21" t="str">
        <f t="shared" si="7"/>
        <v>ABD</v>
      </c>
      <c r="AK33" s="21" cm="1">
        <f t="array" ref="AK33">INDEX($H$21:$H$35,SMALL(IF($AJ$21:$AJ$35=AJ33,ROW($AJ$21:$AJ$35)-ROW(INDEX($AJ$21:$AJ$35,1,1))+1),1))</f>
        <v>6</v>
      </c>
      <c r="AL33" s="21" cm="1">
        <f t="array" ref="AL33">INDEX($H$21:$H$35,SMALL(IF($AJ$21:$AJ$35=AJ33,ROW($AJ$21:$AJ$35)-ROW(INDEX($AJ$21:$AJ$35,1,1))+1),2))</f>
        <v>13</v>
      </c>
      <c r="AM33" s="21" t="e" cm="1">
        <f t="array" ref="AM33">INDEX($H$21:$H$35,SMALL(IF($AJ$21:$AJ$35=AJ33,ROW($AJ$21:$AJ$35)-ROW(INDEX($AJ$21:$AJ$35,1,1))+1),3))</f>
        <v>#NUM!</v>
      </c>
      <c r="AN33" s="21">
        <f>IF(COUNTIF($AJ$21:$AJ$35,AJ33)=2,IF(H34=AK33,AL33,AK33),
IF(COUNTIF($AJ$21:$AJ$35,AJ33)=3,IF(H34=AK33,_xlfn.TEXTJOIN(" and ",TRUE,AL33,AM33),IF(H34=AL33,_xlfn.TEXTJOIN(" and ",TRUE,AK33,AM33),_xlfn.TEXTJOIN(" and ",TRUE,AK33,AL33))),""))</f>
        <v>6</v>
      </c>
    </row>
    <row r="34" spans="2:40" x14ac:dyDescent="0.4">
      <c r="B34" s="2"/>
      <c r="C34" s="3"/>
      <c r="D34" s="4"/>
      <c r="E34" s="5"/>
      <c r="H34" s="21">
        <v>14</v>
      </c>
      <c r="I34" s="21" t="str">
        <f>AN35</f>
        <v/>
      </c>
      <c r="J34" s="83" t="str">
        <f ca="1">_xlfn.FORMULATEXT(L34)</f>
        <v>=SUM(--ISBLANK(J11:J17))</v>
      </c>
      <c r="K34" s="84"/>
      <c r="L34" s="12" cm="1">
        <f t="array" ref="L34">SUM(--ISBLANK(J11:J17))</f>
        <v>7</v>
      </c>
      <c r="M34" s="20" cm="1">
        <f t="array" ref="M34">SUM(--ISBLANK(K11:K17))</f>
        <v>0</v>
      </c>
      <c r="N34" s="12" cm="1">
        <f t="array" ref="N34">SUM(--ISBLANK(L11:L17))</f>
        <v>0</v>
      </c>
      <c r="O34" s="21" cm="1">
        <f t="array" ref="O34">SUM(--ISBLANK(M11:M17))</f>
        <v>0</v>
      </c>
      <c r="P34" s="12" cm="1">
        <f t="array" ref="P34">SUM(--ISBLANK(N11:N17))</f>
        <v>0</v>
      </c>
      <c r="Q34" s="12" cm="1">
        <f t="array" ref="Q34">SUM(--ISBLANK(O11:O17))</f>
        <v>0</v>
      </c>
      <c r="R34" s="21" cm="1">
        <f t="array" ref="R34">SUM(--ISBLANK(P11:P17))</f>
        <v>0</v>
      </c>
      <c r="S34" s="21" cm="1">
        <f t="array" ref="S34">SUM(--ISBLANK(Q11:Q17))</f>
        <v>0</v>
      </c>
      <c r="T34"/>
      <c r="U34"/>
      <c r="V34" s="5"/>
      <c r="W34" s="4"/>
      <c r="X34" s="3"/>
      <c r="Y34" s="2"/>
      <c r="AA34" s="21" t="str">
        <v>A</v>
      </c>
      <c r="AB34" s="21" t="str">
        <v/>
      </c>
      <c r="AC34" s="21" t="str">
        <v/>
      </c>
      <c r="AD34" s="33" t="str">
        <v/>
      </c>
      <c r="AE34" s="21" t="str">
        <v/>
      </c>
      <c r="AF34" s="21" t="str">
        <v/>
      </c>
      <c r="AG34" s="21" t="str">
        <v/>
      </c>
      <c r="AH34" s="21" t="str">
        <v/>
      </c>
      <c r="AJ34" s="21" t="str">
        <f t="shared" si="7"/>
        <v>A</v>
      </c>
      <c r="AK34" s="21" cm="1">
        <f t="array" ref="AK34">INDEX($H$21:$H$35,SMALL(IF($AJ$21:$AJ$35=AJ34,ROW($AJ$21:$AJ$35)-ROW(INDEX($AJ$21:$AJ$35,1,1))+1),1))</f>
        <v>14</v>
      </c>
      <c r="AL34" s="21" t="e" cm="1">
        <f t="array" ref="AL34">INDEX($H$21:$H$35,SMALL(IF($AJ$21:$AJ$35=AJ34,ROW($AJ$21:$AJ$35)-ROW(INDEX($AJ$21:$AJ$35,1,1))+1),2))</f>
        <v>#NUM!</v>
      </c>
      <c r="AM34" s="21" t="e" cm="1">
        <f t="array" ref="AM34">INDEX($H$21:$H$35,SMALL(IF($AJ$21:$AJ$35=AJ34,ROW($AJ$21:$AJ$35)-ROW(INDEX($AJ$21:$AJ$35,1,1))+1),3))</f>
        <v>#NUM!</v>
      </c>
      <c r="AN34" s="21" t="str">
        <f>IF(COUNTIF($AJ$21:$AJ$35,AJ34)=2,IF(H29=AK34,AL34,AK34),
IF(COUNTIF($AJ$21:$AJ$35,AJ34)=3,IF(H29=AK34,_xlfn.TEXTJOIN(" and ",TRUE,AL34,AM34),IF(H29=AL34,_xlfn.TEXTJOIN(" and ",TRUE,AK34,AM34),_xlfn.TEXTJOIN(" and ",TRUE,AK34,AL34))),""))</f>
        <v/>
      </c>
    </row>
    <row r="35" spans="2:40" x14ac:dyDescent="0.4">
      <c r="B35" s="2"/>
      <c r="C35" s="3"/>
      <c r="D35" s="4"/>
      <c r="E35" s="5"/>
      <c r="H35" s="21">
        <v>15</v>
      </c>
      <c r="I35" s="21" t="str">
        <f>AN34</f>
        <v/>
      </c>
      <c r="J35" s="83" t="str">
        <f t="shared" ca="1" si="4"/>
        <v>=SUMPRODUCT(--(LEN(J11:J17)&gt;0))</v>
      </c>
      <c r="K35" s="84"/>
      <c r="L35" s="12" cm="1">
        <f t="array" ref="L35">SUMPRODUCT(--(LEN(J11:J17)&gt;0))</f>
        <v>0</v>
      </c>
      <c r="M35" s="20" cm="1">
        <f t="array" ref="M35">SUMPRODUCT(--(LEN(K11:K17)&gt;0))</f>
        <v>0</v>
      </c>
      <c r="N35" s="12" cm="1">
        <f t="array" ref="N35">SUMPRODUCT(--(LEN(L11:L17)&gt;0))</f>
        <v>7</v>
      </c>
      <c r="O35" s="21" cm="1">
        <f t="array" ref="O35">SUMPRODUCT(--(LEN(M11:M17)&gt;0))</f>
        <v>0</v>
      </c>
      <c r="P35" s="12" cm="1">
        <f t="array" ref="P35">SUMPRODUCT(--(LEN(N11:N17)&gt;0))</f>
        <v>7</v>
      </c>
      <c r="Q35" s="12" cm="1">
        <f t="array" ref="Q35">SUMPRODUCT(--(LEN(O11:O17)&gt;0))</f>
        <v>7</v>
      </c>
      <c r="R35" s="21" cm="1">
        <f t="array" ref="R35">SUMPRODUCT(--(LEN(P11:P17)&gt;0))</f>
        <v>7</v>
      </c>
      <c r="S35" s="21" cm="1">
        <f t="array" ref="S35">SUMPRODUCT(--(LEN(Q11:Q17)&gt;0))</f>
        <v>7</v>
      </c>
      <c r="T35"/>
      <c r="U35"/>
      <c r="V35" s="5"/>
      <c r="W35" s="4"/>
      <c r="X35" s="3"/>
      <c r="Y35" s="2"/>
      <c r="AA35" s="21" t="str">
        <v/>
      </c>
      <c r="AB35" s="21" t="str">
        <v/>
      </c>
      <c r="AC35" s="21" t="str">
        <v>C</v>
      </c>
      <c r="AD35" s="33" t="str">
        <v/>
      </c>
      <c r="AE35" s="21" t="str">
        <v>E</v>
      </c>
      <c r="AF35" s="21" t="str">
        <v>F</v>
      </c>
      <c r="AG35" s="21" t="str">
        <v>G</v>
      </c>
      <c r="AH35" s="21" t="str">
        <v>H</v>
      </c>
      <c r="AJ35" s="21" t="str">
        <f t="shared" si="7"/>
        <v>CEFGH</v>
      </c>
      <c r="AK35" s="21" cm="1">
        <f t="array" ref="AK35">INDEX($H$21:$H$35,SMALL(IF($AJ$21:$AJ$35=AJ35,ROW($AJ$21:$AJ$35)-ROW(INDEX($AJ$21:$AJ$35,1,1))+1),1))</f>
        <v>15</v>
      </c>
      <c r="AL35" s="21" t="e" cm="1">
        <f t="array" ref="AL35">INDEX($H$21:$H$35,SMALL(IF($AJ$21:$AJ$35=AJ35,ROW($AJ$21:$AJ$35)-ROW(INDEX($AJ$21:$AJ$35,1,1))+1),2))</f>
        <v>#NUM!</v>
      </c>
      <c r="AM35" s="21" t="e" cm="1">
        <f t="array" ref="AM35">INDEX($H$21:$H$35,SMALL(IF($AJ$21:$AJ$35=AJ35,ROW($AJ$21:$AJ$35)-ROW(INDEX($AJ$21:$AJ$35,1,1))+1),3))</f>
        <v>#NUM!</v>
      </c>
      <c r="AN35" s="21" t="str">
        <f>IF(COUNTIF($AJ$21:$AJ$35,AJ35)=2,IF(H30=AK35,AL35,AK35),
IF(COUNTIF($AJ$21:$AJ$35,AJ35)=3,IF(H30=AK35,_xlfn.TEXTJOIN(" and ",TRUE,AL35,AM35),IF(H30=AL35,_xlfn.TEXTJOIN(" and ",TRUE,AK35,AM35),_xlfn.TEXTJOIN(" and ",TRUE,AK35,AL35))),""))</f>
        <v/>
      </c>
    </row>
    <row r="36" spans="2:40" x14ac:dyDescent="0.4">
      <c r="B36" s="2"/>
      <c r="C36" s="3"/>
      <c r="D36" s="4"/>
      <c r="E36" s="5"/>
      <c r="H36" s="14"/>
      <c r="I36" s="14"/>
      <c r="J36" s="14"/>
      <c r="K36" s="14"/>
      <c r="L36"/>
      <c r="M36"/>
      <c r="N36"/>
      <c r="O36"/>
      <c r="P36"/>
      <c r="Q36"/>
      <c r="V36" s="5"/>
      <c r="W36" s="4"/>
      <c r="X36" s="3"/>
      <c r="Y36" s="2"/>
      <c r="AA36" s="14"/>
      <c r="AB36" s="14"/>
      <c r="AC36" s="14"/>
      <c r="AD36" s="38"/>
      <c r="AE36" s="14"/>
      <c r="AF36" s="14"/>
      <c r="AG36" s="14"/>
      <c r="AJ36" s="14"/>
      <c r="AK36" s="14"/>
      <c r="AL36" s="14"/>
      <c r="AM36" s="14"/>
      <c r="AN36" s="14"/>
    </row>
    <row r="37" spans="2:40" ht="9.4" customHeight="1" x14ac:dyDescent="0.4">
      <c r="B37" s="2"/>
      <c r="C37" s="3"/>
      <c r="D37" s="4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4"/>
      <c r="X37" s="3"/>
      <c r="Y37" s="2"/>
    </row>
    <row r="38" spans="2:40" ht="9.4" customHeight="1" x14ac:dyDescent="0.4">
      <c r="B38" s="2"/>
      <c r="C38" s="3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3"/>
      <c r="Y38" s="2"/>
    </row>
    <row r="39" spans="2:40" ht="9.4" customHeight="1" x14ac:dyDescent="0.4">
      <c r="B39" s="2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2"/>
    </row>
    <row r="40" spans="2:40" ht="9.4" customHeight="1" x14ac:dyDescent="0.4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2:40" hidden="1" x14ac:dyDescent="0.4">
      <c r="I41"/>
      <c r="J41"/>
      <c r="K41"/>
      <c r="L41"/>
      <c r="M41"/>
      <c r="N41"/>
      <c r="O41"/>
      <c r="P41"/>
      <c r="Q41"/>
      <c r="S41"/>
      <c r="T41"/>
      <c r="U41"/>
      <c r="V41"/>
      <c r="W41"/>
      <c r="X41"/>
      <c r="Y41"/>
    </row>
  </sheetData>
  <mergeCells count="19">
    <mergeCell ref="J28:K28"/>
    <mergeCell ref="J9:Q9"/>
    <mergeCell ref="H19:S19"/>
    <mergeCell ref="G7:T7"/>
    <mergeCell ref="J34:K34"/>
    <mergeCell ref="J27:K27"/>
    <mergeCell ref="J20:K20"/>
    <mergeCell ref="J21:K21"/>
    <mergeCell ref="J22:K22"/>
    <mergeCell ref="J23:K23"/>
    <mergeCell ref="J24:K24"/>
    <mergeCell ref="J25:K25"/>
    <mergeCell ref="J26:K26"/>
    <mergeCell ref="J35:K35"/>
    <mergeCell ref="J29:K29"/>
    <mergeCell ref="J30:K30"/>
    <mergeCell ref="J33:K33"/>
    <mergeCell ref="J32:K32"/>
    <mergeCell ref="J31:K31"/>
  </mergeCells>
  <phoneticPr fontId="12" type="noConversion"/>
  <conditionalFormatting sqref="L21:S35">
    <cfRule type="iconSet" priority="213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B1FC-34B5-4EBE-B251-FA561577CEC8}">
  <sheetPr codeName="Sheet5">
    <tabColor rgb="FF209553"/>
  </sheetPr>
  <dimension ref="A1:BN532"/>
  <sheetViews>
    <sheetView showGridLines="0" zoomScaleNormal="100" workbookViewId="0"/>
  </sheetViews>
  <sheetFormatPr defaultColWidth="0" defaultRowHeight="13.15" zeroHeight="1" x14ac:dyDescent="0.4"/>
  <cols>
    <col min="1" max="1" width="5.7109375" style="1" customWidth="1"/>
    <col min="2" max="5" width="1.78515625" style="1" customWidth="1"/>
    <col min="6" max="7" width="7.140625" style="1" customWidth="1"/>
    <col min="8" max="8" width="34" style="1" bestFit="1" customWidth="1"/>
    <col min="9" max="13" width="13.42578125" style="1" customWidth="1"/>
    <col min="14" max="14" width="14.28515625" style="1" customWidth="1"/>
    <col min="15" max="15" width="5.5703125" style="1" bestFit="1" customWidth="1"/>
    <col min="16" max="16" width="11.0703125" style="1" customWidth="1"/>
    <col min="17" max="17" width="14.28515625" style="1" customWidth="1"/>
    <col min="18" max="18" width="3.78515625" style="1" bestFit="1" customWidth="1"/>
    <col min="19" max="19" width="5.5703125" style="1" bestFit="1" customWidth="1"/>
    <col min="20" max="20" width="11.0703125" style="1" customWidth="1"/>
    <col min="21" max="21" width="14.28515625" style="1" customWidth="1"/>
    <col min="22" max="22" width="10" style="1" bestFit="1" customWidth="1"/>
    <col min="23" max="23" width="8.5703125" style="1" bestFit="1" customWidth="1"/>
    <col min="24" max="24" width="12.5" style="1" bestFit="1" customWidth="1"/>
    <col min="25" max="25" width="6.7109375" style="1" bestFit="1" customWidth="1"/>
    <col min="26" max="27" width="7.140625" style="1" customWidth="1"/>
    <col min="28" max="31" width="1.78515625" style="1" customWidth="1"/>
    <col min="32" max="32" width="8.7109375" style="1" hidden="1" customWidth="1"/>
    <col min="33" max="33" width="4.78515625" style="45" hidden="1" customWidth="1"/>
    <col min="34" max="34" width="4.5703125" style="1" hidden="1" customWidth="1"/>
    <col min="35" max="35" width="6.640625" hidden="1" customWidth="1"/>
    <col min="36" max="36" width="10.85546875" hidden="1" customWidth="1"/>
    <col min="37" max="38" width="9.28515625" hidden="1" customWidth="1"/>
    <col min="39" max="39" width="8.85546875" hidden="1" customWidth="1"/>
    <col min="40" max="40" width="12.42578125" hidden="1" customWidth="1"/>
    <col min="41" max="41" width="19.0703125" hidden="1" customWidth="1"/>
    <col min="42" max="42" width="16.92578125" hidden="1" customWidth="1"/>
    <col min="43" max="43" width="34" hidden="1" customWidth="1"/>
    <col min="44" max="44" width="9.140625" hidden="1" customWidth="1"/>
    <col min="45" max="45" width="10.5703125" hidden="1" customWidth="1"/>
    <col min="46" max="46" width="6.85546875" hidden="1" customWidth="1"/>
    <col min="47" max="48" width="11.2109375" hidden="1" customWidth="1"/>
    <col min="49" max="66" width="0" style="1" hidden="1" customWidth="1"/>
    <col min="67" max="16384" width="9" style="1" hidden="1"/>
  </cols>
  <sheetData>
    <row r="1" spans="1:66" ht="21.95" customHeight="1" x14ac:dyDescent="0.4"/>
    <row r="2" spans="1:66" ht="9.4" customHeight="1" x14ac:dyDescent="0.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66" ht="9.4" customHeight="1" x14ac:dyDescent="0.4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2"/>
    </row>
    <row r="4" spans="1:66" ht="9.4" customHeight="1" x14ac:dyDescent="0.4">
      <c r="B4" s="2"/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3"/>
      <c r="AE4" s="2"/>
    </row>
    <row r="5" spans="1:66" ht="9.4" customHeight="1" x14ac:dyDescent="0.4">
      <c r="B5" s="2"/>
      <c r="C5" s="3"/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4"/>
      <c r="AD5" s="3"/>
      <c r="AE5" s="2"/>
    </row>
    <row r="6" spans="1:66" ht="13.15" customHeight="1" x14ac:dyDescent="0.4">
      <c r="B6" s="2"/>
      <c r="C6" s="3"/>
      <c r="D6" s="4"/>
      <c r="E6" s="5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AB6" s="5"/>
      <c r="AC6" s="4"/>
      <c r="AD6" s="3"/>
      <c r="AE6" s="2"/>
    </row>
    <row r="7" spans="1:66" ht="25.5" x14ac:dyDescent="0.4">
      <c r="B7" s="2"/>
      <c r="C7" s="3"/>
      <c r="D7" s="4"/>
      <c r="E7" s="5"/>
      <c r="G7" s="86" t="s">
        <v>567</v>
      </c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B7" s="5"/>
      <c r="AC7" s="4"/>
      <c r="AD7" s="3"/>
      <c r="AE7" s="2"/>
      <c r="AG7" s="46"/>
    </row>
    <row r="8" spans="1:66" customFormat="1" ht="13.15" customHeight="1" x14ac:dyDescent="0.4">
      <c r="A8" s="1"/>
      <c r="B8" s="2"/>
      <c r="C8" s="3"/>
      <c r="D8" s="4"/>
      <c r="E8" s="5"/>
      <c r="F8" s="1"/>
      <c r="G8" s="1"/>
      <c r="H8" s="1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1"/>
      <c r="W8" s="1"/>
      <c r="X8" s="1"/>
      <c r="Y8" s="1"/>
      <c r="Z8" s="1"/>
      <c r="AA8" s="1"/>
      <c r="AB8" s="5"/>
      <c r="AC8" s="4"/>
      <c r="AD8" s="3"/>
      <c r="AE8" s="2"/>
      <c r="AF8" s="1"/>
      <c r="AG8" s="45"/>
      <c r="AH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</row>
    <row r="9" spans="1:66" customFormat="1" ht="21" customHeight="1" x14ac:dyDescent="0.4">
      <c r="A9" s="1"/>
      <c r="B9" s="2"/>
      <c r="C9" s="3"/>
      <c r="D9" s="4"/>
      <c r="E9" s="5"/>
      <c r="F9" s="1"/>
      <c r="G9" s="1"/>
      <c r="H9" s="82" t="s">
        <v>289</v>
      </c>
      <c r="I9" s="82"/>
      <c r="J9" s="82"/>
      <c r="K9" s="82"/>
      <c r="L9" s="82"/>
      <c r="M9" s="82"/>
      <c r="N9" s="1"/>
      <c r="O9" s="98" t="s">
        <v>294</v>
      </c>
      <c r="P9" s="99"/>
      <c r="R9" s="85" t="s">
        <v>288</v>
      </c>
      <c r="S9" s="85"/>
      <c r="T9" s="92"/>
      <c r="V9" s="85" t="s">
        <v>299</v>
      </c>
      <c r="W9" s="85"/>
      <c r="X9" s="85"/>
      <c r="Y9" s="85"/>
      <c r="Z9" s="1"/>
      <c r="AA9" s="1"/>
      <c r="AB9" s="5"/>
      <c r="AC9" s="4"/>
      <c r="AD9" s="3"/>
      <c r="AE9" s="2"/>
      <c r="AF9" s="1"/>
      <c r="AG9" s="45"/>
      <c r="AH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</row>
    <row r="10" spans="1:66" customFormat="1" ht="33.75" customHeight="1" x14ac:dyDescent="0.4">
      <c r="A10" s="1"/>
      <c r="B10" s="2"/>
      <c r="C10" s="3"/>
      <c r="D10" s="4"/>
      <c r="E10" s="5"/>
      <c r="F10" s="1"/>
      <c r="H10" s="90" t="s">
        <v>292</v>
      </c>
      <c r="I10" s="90"/>
      <c r="J10" s="91"/>
      <c r="K10" s="94" t="s">
        <v>293</v>
      </c>
      <c r="L10" s="95"/>
      <c r="M10" s="95"/>
      <c r="N10" s="1"/>
      <c r="O10" s="96" t="s">
        <v>287</v>
      </c>
      <c r="P10" s="97"/>
      <c r="R10" s="90" t="s">
        <v>295</v>
      </c>
      <c r="S10" s="90"/>
      <c r="T10" s="93"/>
      <c r="V10" s="89" t="s">
        <v>300</v>
      </c>
      <c r="W10" s="89"/>
      <c r="X10" s="89"/>
      <c r="Y10" s="89"/>
      <c r="Z10" s="1"/>
      <c r="AA10" s="1"/>
      <c r="AB10" s="5"/>
      <c r="AC10" s="4"/>
      <c r="AD10" s="3"/>
      <c r="AE10" s="2"/>
      <c r="AF10" s="1"/>
      <c r="AG10" s="45"/>
      <c r="AH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</row>
    <row r="11" spans="1:66" customFormat="1" ht="47.25" x14ac:dyDescent="0.4">
      <c r="A11" s="1"/>
      <c r="B11" s="2"/>
      <c r="C11" s="3"/>
      <c r="D11" s="4"/>
      <c r="E11" s="5"/>
      <c r="F11" s="1"/>
      <c r="H11" s="18" t="s">
        <v>309</v>
      </c>
      <c r="I11" s="18" t="s">
        <v>290</v>
      </c>
      <c r="J11" s="51" t="s">
        <v>54</v>
      </c>
      <c r="K11" s="55" t="s">
        <v>296</v>
      </c>
      <c r="L11" s="50" t="s">
        <v>297</v>
      </c>
      <c r="M11" s="52" t="s">
        <v>291</v>
      </c>
      <c r="N11" s="1"/>
      <c r="O11" s="18" t="s">
        <v>286</v>
      </c>
      <c r="P11" s="7" t="s">
        <v>291</v>
      </c>
      <c r="R11" s="60" t="s">
        <v>57</v>
      </c>
      <c r="S11" s="50" t="s">
        <v>286</v>
      </c>
      <c r="T11" s="7" t="s">
        <v>291</v>
      </c>
      <c r="V11" s="61" t="s">
        <v>301</v>
      </c>
      <c r="W11" s="11" t="s">
        <v>302</v>
      </c>
      <c r="X11" s="24" t="s">
        <v>303</v>
      </c>
      <c r="Y11" s="24" t="s">
        <v>308</v>
      </c>
      <c r="Z11" s="1"/>
      <c r="AA11" s="1"/>
      <c r="AB11" s="5"/>
      <c r="AC11" s="4"/>
      <c r="AD11" s="3"/>
      <c r="AE11" s="2"/>
      <c r="AF11" s="1"/>
      <c r="AG11" s="45"/>
      <c r="AH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</row>
    <row r="12" spans="1:66" customFormat="1" x14ac:dyDescent="0.4">
      <c r="A12" s="1"/>
      <c r="B12" s="2"/>
      <c r="C12" s="3"/>
      <c r="D12" s="4"/>
      <c r="E12" s="5"/>
      <c r="F12" s="1"/>
      <c r="H12" s="63" t="s">
        <v>310</v>
      </c>
      <c r="I12" s="43">
        <v>0</v>
      </c>
      <c r="J12" s="43" t="s">
        <v>255</v>
      </c>
      <c r="K12" s="53">
        <f t="shared" ref="K12:K75" si="0">CODE(J12)</f>
        <v>78</v>
      </c>
      <c r="L12" s="57" t="e">
        <f t="shared" ref="L12:L75" si="1">CODE(M12)</f>
        <v>#VALUE!</v>
      </c>
      <c r="M12" s="54" t="e">
        <f>CHAR(Table35[[#This Row],[Decimal]])</f>
        <v>#VALUE!</v>
      </c>
      <c r="N12" s="1"/>
      <c r="O12" s="48">
        <f>CODE(P12)</f>
        <v>1</v>
      </c>
      <c r="P12" s="48" t="str" cm="1">
        <f t="array" ref="P12">CHAR(ROW(1:1))</f>
        <v>_x0001_</v>
      </c>
      <c r="R12" s="21">
        <v>1</v>
      </c>
      <c r="S12" s="59" cm="1">
        <f t="array" ref="S12:T266">_xlfn._xlws.SORT(O12:P266,2)</f>
        <v>173</v>
      </c>
      <c r="T12" s="48" t="str">
        <v>­</v>
      </c>
      <c r="V12" s="44" t="s">
        <v>306</v>
      </c>
      <c r="W12" s="21" t="str">
        <f>_xlfn.XLOOKUP(VALUE(LEFT(X12,2)),$S$12:$S$266,$R$12:$R$266)
&amp;" "&amp;MID(X12,4,1)&amp;" "&amp;
_xlfn.XLOOKUP(VALUE(RIGHT(X12,2)),$S$12:$S$266,$R$12:$R$266)</f>
        <v>55 &gt; 54</v>
      </c>
      <c r="X12" s="48" t="str">
        <f>CODE(LEFT(V12))&amp;" "&amp;MID(V12,3,1)&amp;" "&amp;CODE(RIGHT(V12))</f>
        <v>64 &gt; 63</v>
      </c>
      <c r="Y12" s="48" t="b">
        <f>"@"&gt;"?"</f>
        <v>1</v>
      </c>
      <c r="Z12" s="1"/>
      <c r="AA12" s="1"/>
      <c r="AB12" s="5"/>
      <c r="AC12" s="4"/>
      <c r="AD12" s="3"/>
      <c r="AE12" s="2"/>
      <c r="AF12" s="1"/>
      <c r="AG12" s="45"/>
      <c r="AH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</row>
    <row r="13" spans="1:66" customFormat="1" x14ac:dyDescent="0.4">
      <c r="A13" s="1"/>
      <c r="B13" s="2"/>
      <c r="C13" s="3"/>
      <c r="D13" s="4"/>
      <c r="E13" s="5"/>
      <c r="F13" s="1"/>
      <c r="H13" s="63" t="s">
        <v>311</v>
      </c>
      <c r="I13" s="43">
        <v>1</v>
      </c>
      <c r="J13" s="43" t="s">
        <v>256</v>
      </c>
      <c r="K13" s="53">
        <f t="shared" si="0"/>
        <v>83</v>
      </c>
      <c r="L13" s="57">
        <f t="shared" si="1"/>
        <v>1</v>
      </c>
      <c r="M13" s="54" t="str">
        <f>CHAR(Table35[[#This Row],[Decimal]])</f>
        <v>_x0001_</v>
      </c>
      <c r="N13" s="1"/>
      <c r="O13" s="48">
        <f t="shared" ref="O13:O76" si="2">CODE(P13)</f>
        <v>2</v>
      </c>
      <c r="P13" s="48" t="str" cm="1">
        <f t="array" ref="P13">CHAR(ROW(2:2))</f>
        <v>_x0002_</v>
      </c>
      <c r="R13" s="21">
        <v>2</v>
      </c>
      <c r="S13" s="59">
        <v>1</v>
      </c>
      <c r="T13" s="48" t="str">
        <v>_x0001_</v>
      </c>
      <c r="V13" s="44" t="s">
        <v>562</v>
      </c>
      <c r="W13" s="21" t="str">
        <f>_xlfn.XLOOKUP(VALUE(LEFT(X13,2)),$S$12:$S$266,$R$12:$R$266)
&amp;" "&amp;MID(X13,4,1)&amp;" "&amp;
_xlfn.XLOOKUP(VALUE(RIGHT(X13,2)),$S$12:$S$266,$R$12:$R$266)</f>
        <v>54 &gt; 40</v>
      </c>
      <c r="X13" s="48" t="str">
        <f t="shared" ref="X13:X14" si="3">CODE(LEFT(V13))&amp;" "&amp;MID(V13,3,1)&amp;" "&amp;CODE(RIGHT(V13))</f>
        <v>63 &gt; 33</v>
      </c>
      <c r="Y13" s="48" t="b">
        <f>"?"&gt;"!"</f>
        <v>1</v>
      </c>
      <c r="Z13" s="1"/>
      <c r="AA13" s="1"/>
      <c r="AB13" s="5"/>
      <c r="AC13" s="4"/>
      <c r="AD13" s="3"/>
      <c r="AE13" s="2"/>
      <c r="AF13" s="1"/>
      <c r="AG13" s="45"/>
      <c r="AH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</row>
    <row r="14" spans="1:66" customFormat="1" x14ac:dyDescent="0.4">
      <c r="A14" s="1"/>
      <c r="B14" s="2"/>
      <c r="C14" s="3"/>
      <c r="D14" s="4"/>
      <c r="E14" s="5"/>
      <c r="F14" s="1"/>
      <c r="H14" s="63" t="s">
        <v>312</v>
      </c>
      <c r="I14" s="43">
        <v>2</v>
      </c>
      <c r="J14" s="43" t="s">
        <v>257</v>
      </c>
      <c r="K14" s="53">
        <f t="shared" si="0"/>
        <v>83</v>
      </c>
      <c r="L14" s="57">
        <f t="shared" si="1"/>
        <v>2</v>
      </c>
      <c r="M14" s="54" t="str">
        <f>CHAR(Table35[[#This Row],[Decimal]])</f>
        <v>_x0002_</v>
      </c>
      <c r="N14" s="1"/>
      <c r="O14" s="48">
        <f t="shared" si="2"/>
        <v>3</v>
      </c>
      <c r="P14" s="48" t="str" cm="1">
        <f t="array" ref="P14">CHAR(ROW(3:3))</f>
        <v>_x0003_</v>
      </c>
      <c r="R14" s="21">
        <v>3</v>
      </c>
      <c r="S14" s="59">
        <v>2</v>
      </c>
      <c r="T14" s="48" t="str">
        <v>_x0002_</v>
      </c>
      <c r="V14" s="44" t="s">
        <v>563</v>
      </c>
      <c r="W14" s="21" t="str">
        <f>_xlfn.XLOOKUP(VALUE(LEFT(X14,2)),$S$12:$S$266,$R$12:$R$266)
&amp;" "&amp;MID(X14,4,1)&amp;" "&amp;
_xlfn.XLOOKUP(VALUE(RIGHT(X14,2)),$S$12:$S$266,$R$12:$R$266)</f>
        <v>88 &gt; 56</v>
      </c>
      <c r="X14" s="48" t="str">
        <f t="shared" si="3"/>
        <v>43 &gt; 91</v>
      </c>
      <c r="Y14" s="48" t="b">
        <f>"+"&gt;"["</f>
        <v>1</v>
      </c>
      <c r="Z14" s="1"/>
      <c r="AA14" s="1"/>
      <c r="AB14" s="5"/>
      <c r="AC14" s="4"/>
      <c r="AD14" s="3"/>
      <c r="AE14" s="2"/>
      <c r="AF14" s="1"/>
      <c r="AG14" s="45"/>
      <c r="AH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</row>
    <row r="15" spans="1:66" customFormat="1" x14ac:dyDescent="0.4">
      <c r="A15" s="1"/>
      <c r="B15" s="2"/>
      <c r="C15" s="3"/>
      <c r="D15" s="4"/>
      <c r="E15" s="5"/>
      <c r="F15" s="1"/>
      <c r="H15" s="63" t="s">
        <v>313</v>
      </c>
      <c r="I15" s="43">
        <v>3</v>
      </c>
      <c r="J15" s="43" t="s">
        <v>258</v>
      </c>
      <c r="K15" s="53">
        <f t="shared" si="0"/>
        <v>69</v>
      </c>
      <c r="L15" s="57">
        <f t="shared" si="1"/>
        <v>3</v>
      </c>
      <c r="M15" s="54" t="str">
        <f>CHAR(Table35[[#This Row],[Decimal]])</f>
        <v>_x0003_</v>
      </c>
      <c r="N15" s="1"/>
      <c r="O15" s="48">
        <f t="shared" si="2"/>
        <v>4</v>
      </c>
      <c r="P15" s="48" t="str" cm="1">
        <f t="array" ref="P15">CHAR(ROW(4:4))</f>
        <v>_x0004_</v>
      </c>
      <c r="R15" s="21">
        <v>4</v>
      </c>
      <c r="S15" s="59">
        <v>3</v>
      </c>
      <c r="T15" s="48" t="str">
        <v>_x0003_</v>
      </c>
      <c r="V15" s="21" t="s">
        <v>307</v>
      </c>
      <c r="W15" s="21" t="str">
        <f>_xlfn.XLOOKUP(VALUE(LEFT(X15,3)),$S$12:$S$266,$R$12:$R$266)
&amp;" "&amp;MID(X15,5,1)&amp;" "&amp;
_xlfn.XLOOKUP(VALUE(RIGHT(X15,2)),$S$12:$S$266,$R$12:$R$266)</f>
        <v>32 &gt; 45</v>
      </c>
      <c r="X15" s="21" t="str">
        <f>CODE(LEFT(V15))&amp;" "&amp;MID(V15,3,1)&amp;" "&amp;CODE(RIGHT(V15))</f>
        <v>151 &gt; 38</v>
      </c>
      <c r="Y15" s="21" t="b">
        <f>"—"&gt;"&amp;"</f>
        <v>0</v>
      </c>
      <c r="Z15" s="1"/>
      <c r="AA15" s="1"/>
      <c r="AB15" s="5"/>
      <c r="AC15" s="4"/>
      <c r="AD15" s="3"/>
      <c r="AE15" s="2"/>
      <c r="AF15" s="1"/>
      <c r="AG15" s="45"/>
      <c r="AH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</row>
    <row r="16" spans="1:66" customFormat="1" x14ac:dyDescent="0.4">
      <c r="A16" s="1"/>
      <c r="B16" s="2"/>
      <c r="C16" s="3"/>
      <c r="D16" s="4"/>
      <c r="E16" s="5"/>
      <c r="F16" s="1"/>
      <c r="H16" s="63" t="s">
        <v>314</v>
      </c>
      <c r="I16" s="43">
        <v>4</v>
      </c>
      <c r="J16" s="43" t="s">
        <v>259</v>
      </c>
      <c r="K16" s="53">
        <f t="shared" si="0"/>
        <v>69</v>
      </c>
      <c r="L16" s="57">
        <f t="shared" si="1"/>
        <v>4</v>
      </c>
      <c r="M16" s="54" t="str">
        <f>CHAR(Table35[[#This Row],[Decimal]])</f>
        <v>_x0004_</v>
      </c>
      <c r="N16" s="1"/>
      <c r="O16" s="48">
        <f t="shared" si="2"/>
        <v>5</v>
      </c>
      <c r="P16" s="48" t="str" cm="1">
        <f t="array" ref="P16">CHAR(ROW(5:5))</f>
        <v>_x0005_</v>
      </c>
      <c r="R16" s="21">
        <v>5</v>
      </c>
      <c r="S16" s="59">
        <v>4</v>
      </c>
      <c r="T16" s="48" t="str">
        <v>_x0004_</v>
      </c>
      <c r="V16" s="44" t="s">
        <v>304</v>
      </c>
      <c r="W16" s="21" t="str">
        <f>_xlfn.XLOOKUP(VALUE(LEFT(X16,2)),$S$12:$S$266,$R$12:$R$266)
&amp;" "&amp;MID(X16,4,1)&amp;" "&amp;
_xlfn.XLOOKUP(VALUE(RIGHT(X16,2)),$S$12:$S$266,$R$12:$R$266)</f>
        <v>132 &gt; 131</v>
      </c>
      <c r="X16" s="48" t="str">
        <f>CODE(LEFT(V16))&amp;" "&amp;MID(V16,3,1)&amp;" "&amp;CODE(RIGHT(V16))</f>
        <v>97 &gt; 65</v>
      </c>
      <c r="Y16" s="48" t="b">
        <f>"a"&gt;"A"</f>
        <v>0</v>
      </c>
      <c r="Z16" s="1"/>
      <c r="AA16" s="1"/>
      <c r="AB16" s="5"/>
      <c r="AC16" s="4"/>
      <c r="AD16" s="3"/>
      <c r="AE16" s="2"/>
      <c r="AF16" s="1"/>
      <c r="AG16" s="45"/>
      <c r="AH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</row>
    <row r="17" spans="1:66" customFormat="1" x14ac:dyDescent="0.4">
      <c r="A17" s="1"/>
      <c r="B17" s="2"/>
      <c r="C17" s="3"/>
      <c r="D17" s="4"/>
      <c r="E17" s="5"/>
      <c r="F17" s="1"/>
      <c r="H17" s="63" t="s">
        <v>315</v>
      </c>
      <c r="I17" s="43">
        <v>5</v>
      </c>
      <c r="J17" s="43" t="s">
        <v>260</v>
      </c>
      <c r="K17" s="53">
        <f t="shared" si="0"/>
        <v>69</v>
      </c>
      <c r="L17" s="57">
        <f t="shared" si="1"/>
        <v>5</v>
      </c>
      <c r="M17" s="54" t="str">
        <f>CHAR(Table35[[#This Row],[Decimal]])</f>
        <v>_x0005_</v>
      </c>
      <c r="N17" s="1"/>
      <c r="O17" s="48">
        <f t="shared" si="2"/>
        <v>6</v>
      </c>
      <c r="P17" s="48" t="str" cm="1">
        <f t="array" ref="P17">CHAR(ROW(6:6))</f>
        <v>_x0006_</v>
      </c>
      <c r="R17" s="21">
        <v>6</v>
      </c>
      <c r="S17" s="59">
        <v>5</v>
      </c>
      <c r="T17" s="48" t="str">
        <v>_x0005_</v>
      </c>
      <c r="V17" s="44" t="s">
        <v>305</v>
      </c>
      <c r="W17" s="21" t="str">
        <f>_xlfn.XLOOKUP(VALUE(LEFT(X17,2)),$S$12:$S$266,$R$12:$R$266)
&amp;" "&amp;MID(X17,4,1)&amp;" "&amp;
_xlfn.XLOOKUP(VALUE(RIGHT(X17,2)),$S$12:$S$266,$R$12:$R$266)</f>
        <v>132 = 131</v>
      </c>
      <c r="X17" s="48" t="str">
        <f>CODE(LEFT(V17))&amp;" "&amp;MID(V17,3,1)&amp;" "&amp;CODE(RIGHT(V17))</f>
        <v>97 = 65</v>
      </c>
      <c r="Y17" s="48" t="b">
        <f>"a"="A"</f>
        <v>1</v>
      </c>
      <c r="Z17" s="1"/>
      <c r="AA17" s="1"/>
      <c r="AB17" s="5"/>
      <c r="AC17" s="4"/>
      <c r="AD17" s="3"/>
      <c r="AE17" s="2"/>
      <c r="AF17" s="1"/>
      <c r="AG17" s="45"/>
      <c r="AH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</row>
    <row r="18" spans="1:66" customFormat="1" x14ac:dyDescent="0.4">
      <c r="A18" s="1"/>
      <c r="B18" s="2"/>
      <c r="C18" s="3"/>
      <c r="D18" s="4"/>
      <c r="E18" s="5"/>
      <c r="F18" s="1"/>
      <c r="H18" s="63" t="s">
        <v>316</v>
      </c>
      <c r="I18" s="43">
        <v>6</v>
      </c>
      <c r="J18" s="43" t="s">
        <v>261</v>
      </c>
      <c r="K18" s="53">
        <f t="shared" si="0"/>
        <v>65</v>
      </c>
      <c r="L18" s="57">
        <f t="shared" si="1"/>
        <v>6</v>
      </c>
      <c r="M18" s="54" t="str">
        <f>CHAR(Table35[[#This Row],[Decimal]])</f>
        <v>_x0006_</v>
      </c>
      <c r="N18" s="1"/>
      <c r="O18" s="48">
        <f t="shared" si="2"/>
        <v>7</v>
      </c>
      <c r="P18" s="48" t="str" cm="1">
        <f t="array" ref="P18">CHAR(ROW(7:7))</f>
        <v>_x0007_</v>
      </c>
      <c r="R18" s="21">
        <v>7</v>
      </c>
      <c r="S18" s="59">
        <v>6</v>
      </c>
      <c r="T18" s="48" t="str">
        <v>_x0006_</v>
      </c>
      <c r="V18" s="21" t="s">
        <v>560</v>
      </c>
      <c r="W18" s="21" t="str">
        <f>_xlfn.XLOOKUP(VALUE(LEFT(X18,2)),$S$12:$S$266,$R$12:$R$266)
&amp;" "&amp;MID(X18,4,1)&amp;" "&amp;
_xlfn.XLOOKUP(VALUE(RIGHT(X18,2)),$S$12:$S$266,$R$12:$R$266)</f>
        <v>119 &gt; 131</v>
      </c>
      <c r="X18" s="21" t="str">
        <f>CODE(LEFT(V18))&amp;" "&amp;MID(V18,3,1)&amp;" "&amp;CODE(RIGHT(V18))</f>
        <v>49 &gt; 65</v>
      </c>
      <c r="Y18" s="21" t="b">
        <f>"1"&gt;"A"</f>
        <v>0</v>
      </c>
      <c r="Z18" s="1"/>
      <c r="AA18" s="1"/>
      <c r="AB18" s="5"/>
      <c r="AC18" s="4"/>
      <c r="AD18" s="3"/>
      <c r="AE18" s="2"/>
      <c r="AF18" s="1"/>
      <c r="AG18" s="45"/>
      <c r="AH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</row>
    <row r="19" spans="1:66" customFormat="1" x14ac:dyDescent="0.4">
      <c r="A19" s="1"/>
      <c r="B19" s="2"/>
      <c r="C19" s="3"/>
      <c r="D19" s="4"/>
      <c r="E19" s="5"/>
      <c r="F19" s="1"/>
      <c r="H19" s="63" t="s">
        <v>317</v>
      </c>
      <c r="I19" s="43">
        <v>7</v>
      </c>
      <c r="J19" s="43" t="s">
        <v>262</v>
      </c>
      <c r="K19" s="53">
        <f t="shared" si="0"/>
        <v>66</v>
      </c>
      <c r="L19" s="57">
        <f t="shared" si="1"/>
        <v>7</v>
      </c>
      <c r="M19" s="54" t="str">
        <f>CHAR(Table35[[#This Row],[Decimal]])</f>
        <v>_x0007_</v>
      </c>
      <c r="N19" s="1"/>
      <c r="O19" s="48">
        <f t="shared" si="2"/>
        <v>8</v>
      </c>
      <c r="P19" s="48" t="str" cm="1">
        <f t="array" ref="P19">CHAR(ROW(8:8))</f>
        <v>_x0008_</v>
      </c>
      <c r="R19" s="21">
        <v>8</v>
      </c>
      <c r="S19" s="59">
        <v>7</v>
      </c>
      <c r="T19" s="48" t="str">
        <v>_x0007_</v>
      </c>
      <c r="V19" s="1"/>
      <c r="W19" s="1"/>
      <c r="X19" s="1"/>
      <c r="Y19" s="1"/>
      <c r="Z19" s="1"/>
      <c r="AA19" s="1"/>
      <c r="AB19" s="5"/>
      <c r="AC19" s="4"/>
      <c r="AD19" s="3"/>
      <c r="AE19" s="2"/>
      <c r="AF19" s="1"/>
      <c r="AG19" s="45"/>
      <c r="AH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</row>
    <row r="20" spans="1:66" customFormat="1" x14ac:dyDescent="0.4">
      <c r="A20" s="1"/>
      <c r="B20" s="2"/>
      <c r="C20" s="3"/>
      <c r="D20" s="4"/>
      <c r="E20" s="5"/>
      <c r="F20" s="1"/>
      <c r="H20" s="63" t="s">
        <v>318</v>
      </c>
      <c r="I20" s="43">
        <v>8</v>
      </c>
      <c r="J20" s="43" t="s">
        <v>263</v>
      </c>
      <c r="K20" s="53">
        <f t="shared" si="0"/>
        <v>66</v>
      </c>
      <c r="L20" s="57">
        <f t="shared" si="1"/>
        <v>8</v>
      </c>
      <c r="M20" s="54" t="str">
        <f>CHAR(Table35[[#This Row],[Decimal]])</f>
        <v>_x0008_</v>
      </c>
      <c r="N20" s="1"/>
      <c r="O20" s="48">
        <f t="shared" si="2"/>
        <v>9</v>
      </c>
      <c r="P20" s="48" t="str" cm="1">
        <f t="array" ref="P20">CHAR(ROW(9:9))</f>
        <v xml:space="preserve">	</v>
      </c>
      <c r="R20" s="21">
        <v>9</v>
      </c>
      <c r="S20" s="59">
        <v>8</v>
      </c>
      <c r="T20" s="48" t="str">
        <v>_x0008_</v>
      </c>
      <c r="Z20" s="1"/>
      <c r="AA20" s="1"/>
      <c r="AB20" s="5"/>
      <c r="AC20" s="4"/>
      <c r="AD20" s="3"/>
      <c r="AE20" s="2"/>
      <c r="AF20" s="1"/>
      <c r="AG20" s="45"/>
      <c r="AH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</row>
    <row r="21" spans="1:66" customFormat="1" x14ac:dyDescent="0.4">
      <c r="A21" s="1"/>
      <c r="B21" s="2"/>
      <c r="C21" s="3"/>
      <c r="D21" s="4"/>
      <c r="E21" s="5"/>
      <c r="F21" s="1"/>
      <c r="H21" s="63" t="s">
        <v>319</v>
      </c>
      <c r="I21" s="43">
        <v>9</v>
      </c>
      <c r="J21" s="43" t="s">
        <v>264</v>
      </c>
      <c r="K21" s="53">
        <f t="shared" si="0"/>
        <v>72</v>
      </c>
      <c r="L21" s="57">
        <f t="shared" si="1"/>
        <v>9</v>
      </c>
      <c r="M21" s="54" t="str">
        <f>CHAR(Table35[[#This Row],[Decimal]])</f>
        <v xml:space="preserve">	</v>
      </c>
      <c r="N21" s="1"/>
      <c r="O21" s="48">
        <f t="shared" si="2"/>
        <v>10</v>
      </c>
      <c r="P21" s="48" t="str" cm="1">
        <f t="array" ref="P21">CHAR(ROW(10:10))</f>
        <v xml:space="preserve">
</v>
      </c>
      <c r="R21" s="21">
        <v>10</v>
      </c>
      <c r="S21" s="59">
        <v>14</v>
      </c>
      <c r="T21" s="48" t="str">
        <v>_x000E_</v>
      </c>
      <c r="Z21" s="1"/>
      <c r="AA21" s="1"/>
      <c r="AB21" s="5"/>
      <c r="AC21" s="4"/>
      <c r="AD21" s="3"/>
      <c r="AE21" s="2"/>
      <c r="AF21" s="1"/>
      <c r="AG21" s="45"/>
      <c r="AH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</row>
    <row r="22" spans="1:66" customFormat="1" x14ac:dyDescent="0.4">
      <c r="A22" s="1"/>
      <c r="B22" s="2"/>
      <c r="C22" s="3"/>
      <c r="D22" s="4"/>
      <c r="E22" s="5"/>
      <c r="F22" s="1"/>
      <c r="H22" s="63" t="s">
        <v>320</v>
      </c>
      <c r="I22" s="43">
        <v>10</v>
      </c>
      <c r="J22" s="43" t="s">
        <v>265</v>
      </c>
      <c r="K22" s="53">
        <f t="shared" si="0"/>
        <v>76</v>
      </c>
      <c r="L22" s="57">
        <f t="shared" si="1"/>
        <v>10</v>
      </c>
      <c r="M22" s="54" t="str">
        <f>CHAR(Table35[[#This Row],[Decimal]])</f>
        <v xml:space="preserve">
</v>
      </c>
      <c r="N22" s="1"/>
      <c r="O22" s="48">
        <f t="shared" si="2"/>
        <v>11</v>
      </c>
      <c r="P22" s="48" t="str" cm="1">
        <f t="array" ref="P22">CHAR(ROW(11:11))</f>
        <v>_x000B_</v>
      </c>
      <c r="R22" s="21">
        <v>11</v>
      </c>
      <c r="S22" s="59">
        <v>15</v>
      </c>
      <c r="T22" s="48" t="str">
        <v>_x000F_</v>
      </c>
      <c r="Z22" s="1"/>
      <c r="AA22" s="1"/>
      <c r="AB22" s="5"/>
      <c r="AC22" s="4"/>
      <c r="AD22" s="3"/>
      <c r="AE22" s="2"/>
      <c r="AF22" s="1"/>
      <c r="AG22" s="45"/>
      <c r="AH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</row>
    <row r="23" spans="1:66" customFormat="1" x14ac:dyDescent="0.4">
      <c r="A23" s="1"/>
      <c r="B23" s="2"/>
      <c r="C23" s="3"/>
      <c r="D23" s="4"/>
      <c r="E23" s="5"/>
      <c r="F23" s="1"/>
      <c r="H23" s="63" t="s">
        <v>321</v>
      </c>
      <c r="I23" s="43">
        <v>11</v>
      </c>
      <c r="J23" s="43" t="s">
        <v>266</v>
      </c>
      <c r="K23" s="53">
        <f t="shared" si="0"/>
        <v>86</v>
      </c>
      <c r="L23" s="57">
        <f t="shared" si="1"/>
        <v>11</v>
      </c>
      <c r="M23" s="54" t="str">
        <f>CHAR(Table35[[#This Row],[Decimal]])</f>
        <v>_x000B_</v>
      </c>
      <c r="N23" s="1"/>
      <c r="O23" s="48">
        <f t="shared" si="2"/>
        <v>12</v>
      </c>
      <c r="P23" s="48" t="str" cm="1">
        <f t="array" ref="P23">CHAR(ROW(12:12))</f>
        <v>_x000C_</v>
      </c>
      <c r="R23" s="21">
        <v>12</v>
      </c>
      <c r="S23" s="59">
        <v>16</v>
      </c>
      <c r="T23" s="48" t="str">
        <v>_x0010_</v>
      </c>
      <c r="Z23" s="1"/>
      <c r="AA23" s="1"/>
      <c r="AB23" s="5"/>
      <c r="AC23" s="4"/>
      <c r="AD23" s="3"/>
      <c r="AE23" s="2"/>
      <c r="AF23" s="1"/>
      <c r="AG23" s="45"/>
      <c r="AH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</row>
    <row r="24" spans="1:66" customFormat="1" x14ac:dyDescent="0.4">
      <c r="A24" s="1"/>
      <c r="B24" s="2"/>
      <c r="C24" s="3"/>
      <c r="D24" s="4"/>
      <c r="E24" s="5"/>
      <c r="F24" s="1"/>
      <c r="H24" s="63" t="s">
        <v>322</v>
      </c>
      <c r="I24" s="43">
        <v>12</v>
      </c>
      <c r="J24" s="43" t="s">
        <v>253</v>
      </c>
      <c r="K24" s="53">
        <f t="shared" si="0"/>
        <v>70</v>
      </c>
      <c r="L24" s="57">
        <f t="shared" si="1"/>
        <v>12</v>
      </c>
      <c r="M24" s="54" t="str">
        <f>CHAR(Table35[[#This Row],[Decimal]])</f>
        <v>_x000C_</v>
      </c>
      <c r="N24" s="1"/>
      <c r="O24" s="48">
        <f t="shared" si="2"/>
        <v>13</v>
      </c>
      <c r="P24" s="48" t="str" cm="1">
        <f t="array" ref="P24">CHAR(ROW(13:13))</f>
        <v>_x000D_</v>
      </c>
      <c r="R24" s="21">
        <v>13</v>
      </c>
      <c r="S24" s="59">
        <v>17</v>
      </c>
      <c r="T24" s="48" t="str">
        <v>_x0011_</v>
      </c>
      <c r="V24" s="1"/>
      <c r="W24" s="1"/>
      <c r="X24" s="1"/>
      <c r="Y24" s="1"/>
      <c r="Z24" s="1"/>
      <c r="AA24" s="1"/>
      <c r="AB24" s="5"/>
      <c r="AC24" s="4"/>
      <c r="AD24" s="3"/>
      <c r="AE24" s="2"/>
      <c r="AF24" s="1"/>
      <c r="AG24" s="45"/>
      <c r="AH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</row>
    <row r="25" spans="1:66" customFormat="1" x14ac:dyDescent="0.4">
      <c r="A25" s="1"/>
      <c r="B25" s="2"/>
      <c r="C25" s="3"/>
      <c r="D25" s="4"/>
      <c r="E25" s="5"/>
      <c r="F25" s="1"/>
      <c r="H25" s="63" t="s">
        <v>323</v>
      </c>
      <c r="I25" s="43">
        <v>13</v>
      </c>
      <c r="J25" s="43" t="s">
        <v>267</v>
      </c>
      <c r="K25" s="53">
        <f t="shared" si="0"/>
        <v>67</v>
      </c>
      <c r="L25" s="57">
        <f t="shared" si="1"/>
        <v>13</v>
      </c>
      <c r="M25" s="54" t="str">
        <f>CHAR(Table35[[#This Row],[Decimal]])</f>
        <v>_x000D_</v>
      </c>
      <c r="N25" s="1"/>
      <c r="O25" s="48">
        <f t="shared" si="2"/>
        <v>14</v>
      </c>
      <c r="P25" s="48" t="str" cm="1">
        <f t="array" ref="P25">CHAR(ROW(14:14))</f>
        <v>_x000E_</v>
      </c>
      <c r="R25" s="21">
        <v>14</v>
      </c>
      <c r="S25" s="59">
        <v>18</v>
      </c>
      <c r="T25" s="48" t="str">
        <v>_x0012_</v>
      </c>
      <c r="V25" s="1"/>
      <c r="W25" s="1"/>
      <c r="X25" s="1"/>
      <c r="Y25" s="1"/>
      <c r="Z25" s="1"/>
      <c r="AA25" s="1"/>
      <c r="AB25" s="5"/>
      <c r="AC25" s="4"/>
      <c r="AD25" s="3"/>
      <c r="AE25" s="2"/>
      <c r="AF25" s="1"/>
      <c r="AG25" s="45"/>
      <c r="AH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</row>
    <row r="26" spans="1:66" customFormat="1" x14ac:dyDescent="0.4">
      <c r="A26" s="1"/>
      <c r="B26" s="2"/>
      <c r="C26" s="3"/>
      <c r="D26" s="4"/>
      <c r="E26" s="5"/>
      <c r="F26" s="1"/>
      <c r="H26" s="63" t="s">
        <v>324</v>
      </c>
      <c r="I26" s="43">
        <v>14</v>
      </c>
      <c r="J26" s="43" t="s">
        <v>268</v>
      </c>
      <c r="K26" s="53">
        <f t="shared" si="0"/>
        <v>83</v>
      </c>
      <c r="L26" s="57">
        <f t="shared" si="1"/>
        <v>14</v>
      </c>
      <c r="M26" s="54" t="str">
        <f>CHAR(Table35[[#This Row],[Decimal]])</f>
        <v>_x000E_</v>
      </c>
      <c r="N26" s="1"/>
      <c r="O26" s="48">
        <f t="shared" si="2"/>
        <v>15</v>
      </c>
      <c r="P26" s="48" t="str" cm="1">
        <f t="array" ref="P26">CHAR(ROW(15:15))</f>
        <v>_x000F_</v>
      </c>
      <c r="R26" s="21">
        <v>15</v>
      </c>
      <c r="S26" s="59">
        <v>19</v>
      </c>
      <c r="T26" s="48" t="str">
        <v>_x0013_</v>
      </c>
      <c r="V26" s="1"/>
      <c r="W26" s="1"/>
      <c r="X26" s="1"/>
      <c r="Y26" s="1"/>
      <c r="Z26" s="1"/>
      <c r="AA26" s="1"/>
      <c r="AB26" s="5"/>
      <c r="AC26" s="4"/>
      <c r="AD26" s="3"/>
      <c r="AE26" s="2"/>
      <c r="AF26" s="1"/>
      <c r="AG26" s="45"/>
      <c r="AH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</row>
    <row r="27" spans="1:66" customFormat="1" x14ac:dyDescent="0.4">
      <c r="A27" s="1"/>
      <c r="B27" s="2"/>
      <c r="C27" s="3"/>
      <c r="D27" s="4"/>
      <c r="E27" s="5"/>
      <c r="F27" s="1"/>
      <c r="H27" s="63" t="s">
        <v>325</v>
      </c>
      <c r="I27" s="43">
        <v>15</v>
      </c>
      <c r="J27" s="43" t="s">
        <v>269</v>
      </c>
      <c r="K27" s="53">
        <f t="shared" si="0"/>
        <v>83</v>
      </c>
      <c r="L27" s="57">
        <f t="shared" si="1"/>
        <v>15</v>
      </c>
      <c r="M27" s="54" t="str">
        <f>CHAR(Table35[[#This Row],[Decimal]])</f>
        <v>_x000F_</v>
      </c>
      <c r="N27" s="1"/>
      <c r="O27" s="48">
        <f t="shared" si="2"/>
        <v>16</v>
      </c>
      <c r="P27" s="48" t="str" cm="1">
        <f t="array" ref="P27">CHAR(ROW(16:16))</f>
        <v>_x0010_</v>
      </c>
      <c r="R27" s="21">
        <v>16</v>
      </c>
      <c r="S27" s="59">
        <v>20</v>
      </c>
      <c r="T27" s="48" t="str">
        <v>_x0014_</v>
      </c>
      <c r="V27" s="1"/>
      <c r="W27" s="1"/>
      <c r="X27" s="1"/>
      <c r="Y27" s="1"/>
      <c r="Z27" s="1"/>
      <c r="AA27" s="1"/>
      <c r="AB27" s="5"/>
      <c r="AC27" s="4"/>
      <c r="AD27" s="3"/>
      <c r="AE27" s="2"/>
      <c r="AF27" s="1"/>
      <c r="AG27" s="45"/>
      <c r="AH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</row>
    <row r="28" spans="1:66" customFormat="1" x14ac:dyDescent="0.4">
      <c r="A28" s="1"/>
      <c r="B28" s="2"/>
      <c r="C28" s="3"/>
      <c r="D28" s="4"/>
      <c r="E28" s="5"/>
      <c r="F28" s="1"/>
      <c r="H28" s="63" t="s">
        <v>326</v>
      </c>
      <c r="I28" s="43">
        <v>16</v>
      </c>
      <c r="J28" s="43" t="s">
        <v>270</v>
      </c>
      <c r="K28" s="53">
        <f t="shared" si="0"/>
        <v>68</v>
      </c>
      <c r="L28" s="57">
        <f t="shared" si="1"/>
        <v>16</v>
      </c>
      <c r="M28" s="54" t="str">
        <f>CHAR(Table35[[#This Row],[Decimal]])</f>
        <v>_x0010_</v>
      </c>
      <c r="N28" s="1"/>
      <c r="O28" s="48">
        <f t="shared" si="2"/>
        <v>17</v>
      </c>
      <c r="P28" s="48" t="str" cm="1">
        <f t="array" ref="P28">CHAR(ROW(17:17))</f>
        <v>_x0011_</v>
      </c>
      <c r="R28" s="21">
        <v>17</v>
      </c>
      <c r="S28" s="59">
        <v>21</v>
      </c>
      <c r="T28" s="48" t="str">
        <v>_x0015_</v>
      </c>
      <c r="V28" s="1"/>
      <c r="W28" s="1"/>
      <c r="X28" s="1"/>
      <c r="Y28" s="1"/>
      <c r="Z28" s="1"/>
      <c r="AA28" s="1"/>
      <c r="AB28" s="5"/>
      <c r="AC28" s="4"/>
      <c r="AD28" s="3"/>
      <c r="AE28" s="2"/>
      <c r="AF28" s="1"/>
      <c r="AG28" s="45"/>
      <c r="AH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</row>
    <row r="29" spans="1:66" customFormat="1" x14ac:dyDescent="0.4">
      <c r="A29" s="1"/>
      <c r="B29" s="2"/>
      <c r="C29" s="3"/>
      <c r="D29" s="4"/>
      <c r="E29" s="5"/>
      <c r="F29" s="1"/>
      <c r="H29" s="63" t="s">
        <v>327</v>
      </c>
      <c r="I29" s="43">
        <v>17</v>
      </c>
      <c r="J29" s="43" t="s">
        <v>271</v>
      </c>
      <c r="K29" s="53">
        <f t="shared" si="0"/>
        <v>68</v>
      </c>
      <c r="L29" s="57">
        <f t="shared" si="1"/>
        <v>17</v>
      </c>
      <c r="M29" s="54" t="str">
        <f>CHAR(Table35[[#This Row],[Decimal]])</f>
        <v>_x0011_</v>
      </c>
      <c r="N29" s="1"/>
      <c r="O29" s="48">
        <f t="shared" si="2"/>
        <v>18</v>
      </c>
      <c r="P29" s="48" t="str" cm="1">
        <f t="array" ref="P29">CHAR(ROW(18:18))</f>
        <v>_x0012_</v>
      </c>
      <c r="R29" s="21">
        <v>18</v>
      </c>
      <c r="S29" s="59">
        <v>22</v>
      </c>
      <c r="T29" s="48" t="str">
        <v>_x0016_</v>
      </c>
      <c r="V29" s="1"/>
      <c r="W29" s="1"/>
      <c r="X29" s="1"/>
      <c r="Y29" s="1"/>
      <c r="Z29" s="1"/>
      <c r="AA29" s="1"/>
      <c r="AB29" s="5"/>
      <c r="AC29" s="4"/>
      <c r="AD29" s="3"/>
      <c r="AE29" s="2"/>
      <c r="AF29" s="1"/>
      <c r="AG29" s="45"/>
      <c r="AH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</row>
    <row r="30" spans="1:66" customFormat="1" x14ac:dyDescent="0.4">
      <c r="A30" s="1"/>
      <c r="B30" s="2"/>
      <c r="C30" s="3"/>
      <c r="D30" s="4"/>
      <c r="E30" s="5"/>
      <c r="F30" s="1"/>
      <c r="H30" s="63" t="s">
        <v>328</v>
      </c>
      <c r="I30" s="43">
        <v>18</v>
      </c>
      <c r="J30" s="43" t="s">
        <v>272</v>
      </c>
      <c r="K30" s="53">
        <f t="shared" si="0"/>
        <v>68</v>
      </c>
      <c r="L30" s="57">
        <f t="shared" si="1"/>
        <v>18</v>
      </c>
      <c r="M30" s="54" t="str">
        <f>CHAR(Table35[[#This Row],[Decimal]])</f>
        <v>_x0012_</v>
      </c>
      <c r="N30" s="1"/>
      <c r="O30" s="48">
        <f t="shared" si="2"/>
        <v>19</v>
      </c>
      <c r="P30" s="48" t="str" cm="1">
        <f t="array" ref="P30">CHAR(ROW(19:19))</f>
        <v>_x0013_</v>
      </c>
      <c r="R30" s="21">
        <v>19</v>
      </c>
      <c r="S30" s="59">
        <v>23</v>
      </c>
      <c r="T30" s="48" t="str">
        <v>_x0017_</v>
      </c>
      <c r="V30" s="1"/>
      <c r="W30" s="1"/>
      <c r="X30" s="1"/>
      <c r="Y30" s="1"/>
      <c r="Z30" s="1"/>
      <c r="AA30" s="1"/>
      <c r="AB30" s="5"/>
      <c r="AC30" s="4"/>
      <c r="AD30" s="3"/>
      <c r="AE30" s="2"/>
      <c r="AF30" s="1"/>
      <c r="AG30" s="45"/>
      <c r="AH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</row>
    <row r="31" spans="1:66" customFormat="1" x14ac:dyDescent="0.4">
      <c r="A31" s="1"/>
      <c r="B31" s="2"/>
      <c r="C31" s="3"/>
      <c r="D31" s="4"/>
      <c r="E31" s="5"/>
      <c r="F31" s="1"/>
      <c r="H31" s="63" t="s">
        <v>329</v>
      </c>
      <c r="I31" s="43">
        <v>19</v>
      </c>
      <c r="J31" s="43" t="s">
        <v>273</v>
      </c>
      <c r="K31" s="53">
        <f t="shared" si="0"/>
        <v>68</v>
      </c>
      <c r="L31" s="57">
        <f t="shared" si="1"/>
        <v>19</v>
      </c>
      <c r="M31" s="54" t="str">
        <f>CHAR(Table35[[#This Row],[Decimal]])</f>
        <v>_x0013_</v>
      </c>
      <c r="N31" s="1"/>
      <c r="O31" s="48">
        <f t="shared" si="2"/>
        <v>20</v>
      </c>
      <c r="P31" s="48" t="str" cm="1">
        <f t="array" ref="P31">CHAR(ROW(20:20))</f>
        <v>_x0014_</v>
      </c>
      <c r="R31" s="21">
        <v>20</v>
      </c>
      <c r="S31" s="59">
        <v>24</v>
      </c>
      <c r="T31" s="48" t="str">
        <v>_x0018_</v>
      </c>
      <c r="V31" s="1"/>
      <c r="W31" s="1"/>
      <c r="X31" s="1"/>
      <c r="Y31" s="1"/>
      <c r="Z31" s="1"/>
      <c r="AA31" s="1"/>
      <c r="AB31" s="5"/>
      <c r="AC31" s="4"/>
      <c r="AD31" s="3"/>
      <c r="AE31" s="2"/>
      <c r="AF31" s="1"/>
      <c r="AG31" s="45"/>
      <c r="AH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</row>
    <row r="32" spans="1:66" customFormat="1" x14ac:dyDescent="0.4">
      <c r="A32" s="1"/>
      <c r="B32" s="2"/>
      <c r="C32" s="3"/>
      <c r="D32" s="4"/>
      <c r="E32" s="5"/>
      <c r="F32" s="1"/>
      <c r="H32" s="63" t="s">
        <v>330</v>
      </c>
      <c r="I32" s="43">
        <v>20</v>
      </c>
      <c r="J32" s="43" t="s">
        <v>274</v>
      </c>
      <c r="K32" s="53">
        <f t="shared" si="0"/>
        <v>68</v>
      </c>
      <c r="L32" s="57">
        <f t="shared" si="1"/>
        <v>20</v>
      </c>
      <c r="M32" s="54" t="str">
        <f>CHAR(Table35[[#This Row],[Decimal]])</f>
        <v>_x0014_</v>
      </c>
      <c r="N32" s="1"/>
      <c r="O32" s="48">
        <f t="shared" si="2"/>
        <v>21</v>
      </c>
      <c r="P32" s="48" t="str" cm="1">
        <f t="array" ref="P32">CHAR(ROW(21:21))</f>
        <v>_x0015_</v>
      </c>
      <c r="R32" s="21">
        <v>21</v>
      </c>
      <c r="S32" s="59">
        <v>25</v>
      </c>
      <c r="T32" s="48" t="str">
        <v>_x0019_</v>
      </c>
      <c r="V32" s="1"/>
      <c r="W32" s="1"/>
      <c r="X32" s="1"/>
      <c r="Y32" s="1"/>
      <c r="Z32" s="1"/>
      <c r="AA32" s="1"/>
      <c r="AB32" s="5"/>
      <c r="AC32" s="4"/>
      <c r="AD32" s="3"/>
      <c r="AE32" s="2"/>
      <c r="AF32" s="1"/>
      <c r="AG32" s="45"/>
      <c r="AH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</row>
    <row r="33" spans="1:66" customFormat="1" x14ac:dyDescent="0.4">
      <c r="A33" s="1"/>
      <c r="B33" s="2"/>
      <c r="C33" s="3"/>
      <c r="D33" s="4"/>
      <c r="E33" s="5"/>
      <c r="F33" s="1"/>
      <c r="H33" s="63" t="s">
        <v>331</v>
      </c>
      <c r="I33" s="43">
        <v>21</v>
      </c>
      <c r="J33" s="43" t="s">
        <v>275</v>
      </c>
      <c r="K33" s="53">
        <f t="shared" si="0"/>
        <v>78</v>
      </c>
      <c r="L33" s="57">
        <f t="shared" si="1"/>
        <v>21</v>
      </c>
      <c r="M33" s="54" t="str">
        <f>CHAR(Table35[[#This Row],[Decimal]])</f>
        <v>_x0015_</v>
      </c>
      <c r="N33" s="1"/>
      <c r="O33" s="48">
        <f t="shared" si="2"/>
        <v>22</v>
      </c>
      <c r="P33" s="48" t="str" cm="1">
        <f t="array" ref="P33">CHAR(ROW(22:22))</f>
        <v>_x0016_</v>
      </c>
      <c r="R33" s="21">
        <v>22</v>
      </c>
      <c r="S33" s="59">
        <v>26</v>
      </c>
      <c r="T33" s="48" t="str">
        <v>_x001A_</v>
      </c>
      <c r="V33" s="1"/>
      <c r="W33" s="1"/>
      <c r="X33" s="1"/>
      <c r="Y33" s="1"/>
      <c r="Z33" s="1"/>
      <c r="AA33" s="1"/>
      <c r="AB33" s="5"/>
      <c r="AC33" s="4"/>
      <c r="AD33" s="3"/>
      <c r="AE33" s="2"/>
      <c r="AF33" s="1"/>
      <c r="AG33" s="45"/>
      <c r="AH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</row>
    <row r="34" spans="1:66" customFormat="1" x14ac:dyDescent="0.4">
      <c r="A34" s="1"/>
      <c r="B34" s="2"/>
      <c r="C34" s="3"/>
      <c r="D34" s="4"/>
      <c r="E34" s="5"/>
      <c r="F34" s="1"/>
      <c r="H34" s="63" t="s">
        <v>332</v>
      </c>
      <c r="I34" s="43">
        <v>22</v>
      </c>
      <c r="J34" s="43" t="s">
        <v>276</v>
      </c>
      <c r="K34" s="53">
        <f t="shared" si="0"/>
        <v>83</v>
      </c>
      <c r="L34" s="57">
        <f t="shared" si="1"/>
        <v>22</v>
      </c>
      <c r="M34" s="54" t="str">
        <f>CHAR(Table35[[#This Row],[Decimal]])</f>
        <v>_x0016_</v>
      </c>
      <c r="N34" s="1"/>
      <c r="O34" s="48">
        <f t="shared" si="2"/>
        <v>23</v>
      </c>
      <c r="P34" s="48" t="str" cm="1">
        <f t="array" ref="P34">CHAR(ROW(23:23))</f>
        <v>_x0017_</v>
      </c>
      <c r="R34" s="21">
        <v>23</v>
      </c>
      <c r="S34" s="59">
        <v>27</v>
      </c>
      <c r="T34" s="48" t="str">
        <v>_x001B_</v>
      </c>
      <c r="V34" s="1"/>
      <c r="W34" s="1"/>
      <c r="X34" s="1"/>
      <c r="Y34" s="1"/>
      <c r="Z34" s="1"/>
      <c r="AA34" s="1"/>
      <c r="AB34" s="5"/>
      <c r="AC34" s="4"/>
      <c r="AD34" s="3"/>
      <c r="AE34" s="2"/>
      <c r="AF34" s="1"/>
      <c r="AG34" s="45"/>
      <c r="AH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</row>
    <row r="35" spans="1:66" customFormat="1" x14ac:dyDescent="0.4">
      <c r="A35" s="1"/>
      <c r="B35" s="2"/>
      <c r="C35" s="3"/>
      <c r="D35" s="4"/>
      <c r="E35" s="5"/>
      <c r="F35" s="1"/>
      <c r="H35" s="63" t="s">
        <v>333</v>
      </c>
      <c r="I35" s="43">
        <v>23</v>
      </c>
      <c r="J35" s="43" t="s">
        <v>277</v>
      </c>
      <c r="K35" s="53">
        <f t="shared" si="0"/>
        <v>69</v>
      </c>
      <c r="L35" s="57">
        <f t="shared" si="1"/>
        <v>23</v>
      </c>
      <c r="M35" s="54" t="str">
        <f>CHAR(Table35[[#This Row],[Decimal]])</f>
        <v>_x0017_</v>
      </c>
      <c r="N35" s="1"/>
      <c r="O35" s="48">
        <f t="shared" si="2"/>
        <v>24</v>
      </c>
      <c r="P35" s="48" t="str" cm="1">
        <f t="array" ref="P35">CHAR(ROW(24:24))</f>
        <v>_x0018_</v>
      </c>
      <c r="R35" s="21">
        <v>24</v>
      </c>
      <c r="S35" s="59">
        <v>28</v>
      </c>
      <c r="T35" s="48" t="str">
        <v>_x001C_</v>
      </c>
      <c r="V35" s="1"/>
      <c r="W35" s="1"/>
      <c r="X35" s="1"/>
      <c r="Y35" s="1"/>
      <c r="Z35" s="1"/>
      <c r="AA35" s="1"/>
      <c r="AB35" s="5"/>
      <c r="AC35" s="4"/>
      <c r="AD35" s="3"/>
      <c r="AE35" s="2"/>
      <c r="AF35" s="1"/>
      <c r="AG35" s="45"/>
      <c r="AH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</row>
    <row r="36" spans="1:66" customFormat="1" x14ac:dyDescent="0.4">
      <c r="A36" s="1"/>
      <c r="B36" s="2"/>
      <c r="C36" s="3"/>
      <c r="D36" s="4"/>
      <c r="E36" s="5"/>
      <c r="F36" s="1"/>
      <c r="H36" s="63" t="s">
        <v>334</v>
      </c>
      <c r="I36" s="43">
        <v>24</v>
      </c>
      <c r="J36" s="43" t="s">
        <v>278</v>
      </c>
      <c r="K36" s="53">
        <f t="shared" si="0"/>
        <v>67</v>
      </c>
      <c r="L36" s="57">
        <f t="shared" si="1"/>
        <v>24</v>
      </c>
      <c r="M36" s="54" t="str">
        <f>CHAR(Table35[[#This Row],[Decimal]])</f>
        <v>_x0018_</v>
      </c>
      <c r="N36" s="1"/>
      <c r="O36" s="48">
        <f t="shared" si="2"/>
        <v>25</v>
      </c>
      <c r="P36" s="48" t="str" cm="1">
        <f t="array" ref="P36">CHAR(ROW(25:25))</f>
        <v>_x0019_</v>
      </c>
      <c r="R36" s="21">
        <v>25</v>
      </c>
      <c r="S36" s="59">
        <v>29</v>
      </c>
      <c r="T36" s="48" t="str">
        <v>_x001D_</v>
      </c>
      <c r="V36" s="1"/>
      <c r="W36" s="1"/>
      <c r="X36" s="1"/>
      <c r="Y36" s="1"/>
      <c r="Z36" s="1"/>
      <c r="AA36" s="1"/>
      <c r="AB36" s="5"/>
      <c r="AC36" s="4"/>
      <c r="AD36" s="3"/>
      <c r="AE36" s="2"/>
      <c r="AF36" s="1"/>
      <c r="AG36" s="45"/>
      <c r="AH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</row>
    <row r="37" spans="1:66" customFormat="1" x14ac:dyDescent="0.4">
      <c r="A37" s="1"/>
      <c r="B37" s="2"/>
      <c r="C37" s="3"/>
      <c r="D37" s="4"/>
      <c r="E37" s="5"/>
      <c r="F37" s="1"/>
      <c r="H37" s="63" t="s">
        <v>335</v>
      </c>
      <c r="I37" s="43">
        <v>25</v>
      </c>
      <c r="J37" s="43" t="s">
        <v>279</v>
      </c>
      <c r="K37" s="53">
        <f t="shared" si="0"/>
        <v>69</v>
      </c>
      <c r="L37" s="57">
        <f t="shared" si="1"/>
        <v>25</v>
      </c>
      <c r="M37" s="54" t="str">
        <f>CHAR(Table35[[#This Row],[Decimal]])</f>
        <v>_x0019_</v>
      </c>
      <c r="N37" s="1"/>
      <c r="O37" s="48">
        <f t="shared" si="2"/>
        <v>26</v>
      </c>
      <c r="P37" s="48" t="str" cm="1">
        <f t="array" ref="P37">CHAR(ROW(26:26))</f>
        <v>_x001A_</v>
      </c>
      <c r="R37" s="21">
        <v>26</v>
      </c>
      <c r="S37" s="59">
        <v>30</v>
      </c>
      <c r="T37" s="48" t="str">
        <v>_x001E_</v>
      </c>
      <c r="V37" s="1"/>
      <c r="W37" s="1"/>
      <c r="X37" s="1"/>
      <c r="Y37" s="1"/>
      <c r="Z37" s="1"/>
      <c r="AA37" s="1"/>
      <c r="AB37" s="5"/>
      <c r="AC37" s="4"/>
      <c r="AD37" s="3"/>
      <c r="AE37" s="2"/>
      <c r="AF37" s="1"/>
      <c r="AG37" s="45"/>
      <c r="AH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</row>
    <row r="38" spans="1:66" customFormat="1" x14ac:dyDescent="0.4">
      <c r="A38" s="1"/>
      <c r="B38" s="2"/>
      <c r="C38" s="3"/>
      <c r="D38" s="4"/>
      <c r="E38" s="5"/>
      <c r="F38" s="1"/>
      <c r="H38" s="63" t="s">
        <v>336</v>
      </c>
      <c r="I38" s="43">
        <v>26</v>
      </c>
      <c r="J38" s="43" t="s">
        <v>280</v>
      </c>
      <c r="K38" s="53">
        <f t="shared" si="0"/>
        <v>83</v>
      </c>
      <c r="L38" s="57">
        <f t="shared" si="1"/>
        <v>26</v>
      </c>
      <c r="M38" s="54" t="str">
        <f>CHAR(Table35[[#This Row],[Decimal]])</f>
        <v>_x001A_</v>
      </c>
      <c r="N38" s="1"/>
      <c r="O38" s="48">
        <f t="shared" si="2"/>
        <v>27</v>
      </c>
      <c r="P38" s="48" t="str" cm="1">
        <f t="array" ref="P38">CHAR(ROW(27:27))</f>
        <v>_x001B_</v>
      </c>
      <c r="R38" s="21">
        <v>27</v>
      </c>
      <c r="S38" s="59">
        <v>31</v>
      </c>
      <c r="T38" s="48" t="str">
        <v>_x001F_</v>
      </c>
      <c r="V38" s="1"/>
      <c r="W38" s="1"/>
      <c r="X38" s="1"/>
      <c r="Y38" s="1"/>
      <c r="Z38" s="1"/>
      <c r="AA38" s="1"/>
      <c r="AB38" s="5"/>
      <c r="AC38" s="4"/>
      <c r="AD38" s="3"/>
      <c r="AE38" s="2"/>
      <c r="AF38" s="1"/>
      <c r="AG38" s="45"/>
      <c r="AH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</row>
    <row r="39" spans="1:66" customFormat="1" x14ac:dyDescent="0.4">
      <c r="A39" s="1"/>
      <c r="B39" s="2"/>
      <c r="C39" s="3"/>
      <c r="D39" s="4"/>
      <c r="E39" s="5"/>
      <c r="F39" s="1"/>
      <c r="H39" s="63" t="s">
        <v>337</v>
      </c>
      <c r="I39" s="43">
        <v>27</v>
      </c>
      <c r="J39" s="43" t="s">
        <v>281</v>
      </c>
      <c r="K39" s="53">
        <f t="shared" si="0"/>
        <v>69</v>
      </c>
      <c r="L39" s="57">
        <f t="shared" si="1"/>
        <v>27</v>
      </c>
      <c r="M39" s="54" t="str">
        <f>CHAR(Table35[[#This Row],[Decimal]])</f>
        <v>_x001B_</v>
      </c>
      <c r="N39" s="1"/>
      <c r="O39" s="48">
        <f t="shared" si="2"/>
        <v>28</v>
      </c>
      <c r="P39" s="48" t="str" cm="1">
        <f t="array" ref="P39">CHAR(ROW(28:28))</f>
        <v>_x001C_</v>
      </c>
      <c r="R39" s="21">
        <v>28</v>
      </c>
      <c r="S39" s="59">
        <v>127</v>
      </c>
      <c r="T39" s="48" t="str">
        <v></v>
      </c>
      <c r="V39" s="1"/>
      <c r="W39" s="1"/>
      <c r="X39" s="1"/>
      <c r="Y39" s="1"/>
      <c r="Z39" s="1"/>
      <c r="AA39" s="1"/>
      <c r="AB39" s="5"/>
      <c r="AC39" s="4"/>
      <c r="AD39" s="3"/>
      <c r="AE39" s="2"/>
      <c r="AF39" s="1"/>
      <c r="AG39" s="45"/>
      <c r="AH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</row>
    <row r="40" spans="1:66" customFormat="1" x14ac:dyDescent="0.4">
      <c r="A40" s="1"/>
      <c r="B40" s="2"/>
      <c r="C40" s="3"/>
      <c r="D40" s="4"/>
      <c r="E40" s="5"/>
      <c r="F40" s="1"/>
      <c r="H40" s="63" t="s">
        <v>338</v>
      </c>
      <c r="I40" s="43">
        <v>28</v>
      </c>
      <c r="J40" s="43" t="s">
        <v>282</v>
      </c>
      <c r="K40" s="53">
        <f t="shared" si="0"/>
        <v>70</v>
      </c>
      <c r="L40" s="57">
        <f t="shared" si="1"/>
        <v>28</v>
      </c>
      <c r="M40" s="54" t="str">
        <f>CHAR(Table35[[#This Row],[Decimal]])</f>
        <v>_x001C_</v>
      </c>
      <c r="N40" s="1"/>
      <c r="O40" s="48">
        <f t="shared" si="2"/>
        <v>29</v>
      </c>
      <c r="P40" s="48" t="str" cm="1">
        <f t="array" ref="P40">CHAR(ROW(29:29))</f>
        <v>_x001D_</v>
      </c>
      <c r="R40" s="21">
        <v>29</v>
      </c>
      <c r="S40" s="59">
        <v>39</v>
      </c>
      <c r="T40" s="48" t="str">
        <v>'</v>
      </c>
      <c r="V40" s="1"/>
      <c r="W40" s="1"/>
      <c r="X40" s="1"/>
      <c r="Y40" s="1"/>
      <c r="Z40" s="1"/>
      <c r="AA40" s="1"/>
      <c r="AB40" s="5"/>
      <c r="AC40" s="4"/>
      <c r="AD40" s="3"/>
      <c r="AE40" s="2"/>
      <c r="AF40" s="1"/>
      <c r="AG40" s="45"/>
      <c r="AH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</row>
    <row r="41" spans="1:66" customFormat="1" x14ac:dyDescent="0.4">
      <c r="A41" s="1"/>
      <c r="B41" s="2"/>
      <c r="C41" s="3"/>
      <c r="D41" s="4"/>
      <c r="E41" s="5"/>
      <c r="F41" s="1"/>
      <c r="H41" s="63" t="s">
        <v>339</v>
      </c>
      <c r="I41" s="43">
        <v>29</v>
      </c>
      <c r="J41" s="43" t="s">
        <v>283</v>
      </c>
      <c r="K41" s="53">
        <f t="shared" si="0"/>
        <v>71</v>
      </c>
      <c r="L41" s="57">
        <f t="shared" si="1"/>
        <v>29</v>
      </c>
      <c r="M41" s="54" t="str">
        <f>CHAR(Table35[[#This Row],[Decimal]])</f>
        <v>_x001D_</v>
      </c>
      <c r="N41" s="1"/>
      <c r="O41" s="48">
        <f t="shared" si="2"/>
        <v>30</v>
      </c>
      <c r="P41" s="48" t="str" cm="1">
        <f t="array" ref="P41">CHAR(ROW(30:30))</f>
        <v>_x001E_</v>
      </c>
      <c r="R41" s="21">
        <v>30</v>
      </c>
      <c r="S41" s="59">
        <v>45</v>
      </c>
      <c r="T41" s="48" t="str">
        <v>-</v>
      </c>
      <c r="V41" s="1"/>
      <c r="W41" s="1"/>
      <c r="X41" s="1"/>
      <c r="Y41" s="1"/>
      <c r="Z41" s="1"/>
      <c r="AA41" s="1"/>
      <c r="AB41" s="5"/>
      <c r="AC41" s="4"/>
      <c r="AD41" s="3"/>
      <c r="AE41" s="2"/>
      <c r="AF41" s="1"/>
      <c r="AG41" s="45"/>
      <c r="AH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</row>
    <row r="42" spans="1:66" customFormat="1" x14ac:dyDescent="0.4">
      <c r="A42" s="1"/>
      <c r="B42" s="2"/>
      <c r="C42" s="3"/>
      <c r="D42" s="4"/>
      <c r="E42" s="5"/>
      <c r="F42" s="1"/>
      <c r="H42" s="63" t="s">
        <v>340</v>
      </c>
      <c r="I42" s="43">
        <v>30</v>
      </c>
      <c r="J42" s="43" t="s">
        <v>284</v>
      </c>
      <c r="K42" s="53">
        <f t="shared" si="0"/>
        <v>82</v>
      </c>
      <c r="L42" s="57">
        <f t="shared" si="1"/>
        <v>30</v>
      </c>
      <c r="M42" s="54" t="str">
        <f>CHAR(Table35[[#This Row],[Decimal]])</f>
        <v>_x001E_</v>
      </c>
      <c r="N42" s="1"/>
      <c r="O42" s="48">
        <f t="shared" si="2"/>
        <v>31</v>
      </c>
      <c r="P42" s="48" t="str" cm="1">
        <f t="array" ref="P42">CHAR(ROW(31:31))</f>
        <v>_x001F_</v>
      </c>
      <c r="R42" s="21">
        <v>31</v>
      </c>
      <c r="S42" s="59">
        <v>150</v>
      </c>
      <c r="T42" s="48" t="str">
        <v>–</v>
      </c>
      <c r="V42" s="1"/>
      <c r="W42" s="1"/>
      <c r="X42" s="1"/>
      <c r="Y42" s="1"/>
      <c r="Z42" s="1"/>
      <c r="AA42" s="1"/>
      <c r="AB42" s="5"/>
      <c r="AC42" s="4"/>
      <c r="AD42" s="3"/>
      <c r="AE42" s="2"/>
      <c r="AF42" s="1"/>
      <c r="AG42" s="45"/>
      <c r="AH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</row>
    <row r="43" spans="1:66" customFormat="1" x14ac:dyDescent="0.4">
      <c r="A43" s="1"/>
      <c r="B43" s="2"/>
      <c r="C43" s="3"/>
      <c r="D43" s="4"/>
      <c r="E43" s="5"/>
      <c r="F43" s="1"/>
      <c r="H43" s="63" t="s">
        <v>341</v>
      </c>
      <c r="I43" s="43">
        <v>31</v>
      </c>
      <c r="J43" s="43" t="s">
        <v>285</v>
      </c>
      <c r="K43" s="53">
        <f t="shared" si="0"/>
        <v>85</v>
      </c>
      <c r="L43" s="57">
        <f t="shared" si="1"/>
        <v>31</v>
      </c>
      <c r="M43" s="54" t="str">
        <f>CHAR(Table35[[#This Row],[Decimal]])</f>
        <v>_x001F_</v>
      </c>
      <c r="N43" s="1"/>
      <c r="O43" s="48">
        <f t="shared" si="2"/>
        <v>32</v>
      </c>
      <c r="P43" s="48" t="str" cm="1">
        <f t="array" ref="P43">CHAR(ROW(32:32))</f>
        <v xml:space="preserve"> </v>
      </c>
      <c r="R43" s="21">
        <v>32</v>
      </c>
      <c r="S43" s="59">
        <v>151</v>
      </c>
      <c r="T43" s="48" t="str">
        <v>—</v>
      </c>
      <c r="V43" s="1"/>
      <c r="W43" s="1"/>
      <c r="X43" s="1"/>
      <c r="Y43" s="1"/>
      <c r="Z43" s="1"/>
      <c r="AA43" s="1"/>
      <c r="AB43" s="5"/>
      <c r="AC43" s="4"/>
      <c r="AD43" s="3"/>
      <c r="AE43" s="2"/>
      <c r="AF43" s="1"/>
      <c r="AG43" s="45"/>
      <c r="AH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</row>
    <row r="44" spans="1:66" customFormat="1" x14ac:dyDescent="0.4">
      <c r="A44" s="1"/>
      <c r="B44" s="2"/>
      <c r="C44" s="3"/>
      <c r="D44" s="4"/>
      <c r="E44" s="5"/>
      <c r="F44" s="1"/>
      <c r="H44" s="63" t="s">
        <v>342</v>
      </c>
      <c r="I44" s="43">
        <v>32</v>
      </c>
      <c r="J44" s="43" t="s">
        <v>0</v>
      </c>
      <c r="K44" s="53">
        <f t="shared" si="0"/>
        <v>32</v>
      </c>
      <c r="L44" s="57">
        <f t="shared" si="1"/>
        <v>32</v>
      </c>
      <c r="M44" s="54" t="str">
        <f>CHAR(Table35[[#This Row],[Decimal]])</f>
        <v xml:space="preserve"> </v>
      </c>
      <c r="N44" s="1"/>
      <c r="O44" s="48">
        <f t="shared" si="2"/>
        <v>33</v>
      </c>
      <c r="P44" s="48" t="str" cm="1">
        <f t="array" ref="P44">CHAR(ROW(33:33))</f>
        <v>!</v>
      </c>
      <c r="R44" s="21">
        <v>33</v>
      </c>
      <c r="S44" s="59">
        <v>32</v>
      </c>
      <c r="T44" s="48" t="str">
        <v xml:space="preserve"> </v>
      </c>
      <c r="V44" s="1"/>
      <c r="W44" s="1"/>
      <c r="X44" s="1"/>
      <c r="Y44" s="1"/>
      <c r="Z44" s="1"/>
      <c r="AA44" s="1"/>
      <c r="AB44" s="5"/>
      <c r="AC44" s="4"/>
      <c r="AD44" s="3"/>
      <c r="AE44" s="2"/>
      <c r="AF44" s="1"/>
      <c r="AG44" s="45"/>
      <c r="AH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</row>
    <row r="45" spans="1:66" customFormat="1" x14ac:dyDescent="0.4">
      <c r="A45" s="1"/>
      <c r="B45" s="2"/>
      <c r="C45" s="3"/>
      <c r="D45" s="4"/>
      <c r="E45" s="5"/>
      <c r="F45" s="1"/>
      <c r="H45" s="63" t="s">
        <v>343</v>
      </c>
      <c r="I45" s="43">
        <v>33</v>
      </c>
      <c r="J45" s="43" t="s">
        <v>55</v>
      </c>
      <c r="K45" s="53">
        <f t="shared" si="0"/>
        <v>33</v>
      </c>
      <c r="L45" s="57">
        <f t="shared" si="1"/>
        <v>33</v>
      </c>
      <c r="M45" s="54" t="str">
        <f>CHAR(Table35[[#This Row],[Decimal]])</f>
        <v>!</v>
      </c>
      <c r="N45" s="1"/>
      <c r="O45" s="48">
        <f t="shared" si="2"/>
        <v>34</v>
      </c>
      <c r="P45" s="48" t="str" cm="1">
        <f t="array" ref="P45">CHAR(ROW(34:34))</f>
        <v>"</v>
      </c>
      <c r="R45" s="21">
        <v>34</v>
      </c>
      <c r="S45" s="59">
        <v>160</v>
      </c>
      <c r="T45" s="48" t="str">
        <v> </v>
      </c>
      <c r="V45" s="1"/>
      <c r="W45" s="1"/>
      <c r="X45" s="1"/>
      <c r="Y45" s="1"/>
      <c r="Z45" s="1"/>
      <c r="AA45" s="1"/>
      <c r="AB45" s="5"/>
      <c r="AC45" s="4"/>
      <c r="AD45" s="3"/>
      <c r="AE45" s="2"/>
      <c r="AF45" s="1"/>
      <c r="AG45" s="45"/>
      <c r="AH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</row>
    <row r="46" spans="1:66" customFormat="1" x14ac:dyDescent="0.4">
      <c r="A46" s="1"/>
      <c r="B46" s="2"/>
      <c r="C46" s="3"/>
      <c r="D46" s="4"/>
      <c r="E46" s="5"/>
      <c r="F46" s="1"/>
      <c r="H46" s="63" t="s">
        <v>344</v>
      </c>
      <c r="I46" s="43">
        <v>34</v>
      </c>
      <c r="J46" s="43" t="s">
        <v>56</v>
      </c>
      <c r="K46" s="53">
        <f t="shared" si="0"/>
        <v>34</v>
      </c>
      <c r="L46" s="57">
        <f t="shared" si="1"/>
        <v>34</v>
      </c>
      <c r="M46" s="54" t="str">
        <f>CHAR(Table35[[#This Row],[Decimal]])</f>
        <v>"</v>
      </c>
      <c r="N46" s="1"/>
      <c r="O46" s="48">
        <f t="shared" si="2"/>
        <v>35</v>
      </c>
      <c r="P46" s="48" t="str" cm="1">
        <f t="array" ref="P46">CHAR(ROW(35:35))</f>
        <v>#</v>
      </c>
      <c r="R46" s="21">
        <v>35</v>
      </c>
      <c r="S46" s="59">
        <v>9</v>
      </c>
      <c r="T46" s="48" t="str">
        <v xml:space="preserve">	</v>
      </c>
      <c r="V46" s="1"/>
      <c r="W46" s="1"/>
      <c r="X46" s="1"/>
      <c r="Y46" s="1"/>
      <c r="Z46" s="1"/>
      <c r="AA46" s="1"/>
      <c r="AB46" s="5"/>
      <c r="AC46" s="4"/>
      <c r="AD46" s="3"/>
      <c r="AE46" s="2"/>
      <c r="AF46" s="1"/>
      <c r="AG46" s="45"/>
      <c r="AH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</row>
    <row r="47" spans="1:66" customFormat="1" x14ac:dyDescent="0.4">
      <c r="A47" s="1"/>
      <c r="B47" s="2"/>
      <c r="C47" s="3"/>
      <c r="D47" s="4"/>
      <c r="E47" s="5"/>
      <c r="F47" s="1"/>
      <c r="H47" s="63" t="s">
        <v>16</v>
      </c>
      <c r="I47" s="43">
        <v>35</v>
      </c>
      <c r="J47" s="43" t="s">
        <v>57</v>
      </c>
      <c r="K47" s="53">
        <f t="shared" si="0"/>
        <v>35</v>
      </c>
      <c r="L47" s="57">
        <f t="shared" si="1"/>
        <v>35</v>
      </c>
      <c r="M47" s="54" t="str">
        <f>CHAR(Table35[[#This Row],[Decimal]])</f>
        <v>#</v>
      </c>
      <c r="N47" s="1"/>
      <c r="O47" s="48">
        <f t="shared" si="2"/>
        <v>36</v>
      </c>
      <c r="P47" s="48" t="str" cm="1">
        <f t="array" ref="P47">CHAR(ROW(36:36))</f>
        <v>$</v>
      </c>
      <c r="R47" s="21">
        <v>36</v>
      </c>
      <c r="S47" s="59">
        <v>10</v>
      </c>
      <c r="T47" s="48" t="str">
        <v xml:space="preserve">
</v>
      </c>
      <c r="V47" s="1"/>
      <c r="W47" s="1"/>
      <c r="X47" s="1"/>
      <c r="Y47" s="1"/>
      <c r="Z47" s="1"/>
      <c r="AA47" s="1"/>
      <c r="AB47" s="5"/>
      <c r="AC47" s="4"/>
      <c r="AD47" s="3"/>
      <c r="AE47" s="2"/>
      <c r="AF47" s="1"/>
      <c r="AG47" s="45"/>
      <c r="AH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</row>
    <row r="48" spans="1:66" customFormat="1" x14ac:dyDescent="0.4">
      <c r="A48" s="1"/>
      <c r="B48" s="2"/>
      <c r="C48" s="3"/>
      <c r="D48" s="4"/>
      <c r="E48" s="5"/>
      <c r="F48" s="1"/>
      <c r="H48" s="63" t="s">
        <v>345</v>
      </c>
      <c r="I48" s="43">
        <v>36</v>
      </c>
      <c r="J48" s="43" t="s">
        <v>58</v>
      </c>
      <c r="K48" s="53">
        <f t="shared" si="0"/>
        <v>36</v>
      </c>
      <c r="L48" s="57">
        <f t="shared" si="1"/>
        <v>36</v>
      </c>
      <c r="M48" s="54" t="str">
        <f>CHAR(Table35[[#This Row],[Decimal]])</f>
        <v>$</v>
      </c>
      <c r="N48" s="1"/>
      <c r="O48" s="48">
        <f t="shared" si="2"/>
        <v>37</v>
      </c>
      <c r="P48" s="48" t="str" cm="1">
        <f t="array" ref="P48">CHAR(ROW(37:37))</f>
        <v>%</v>
      </c>
      <c r="R48" s="21">
        <v>37</v>
      </c>
      <c r="S48" s="59">
        <v>11</v>
      </c>
      <c r="T48" s="48" t="str">
        <v>_x000B_</v>
      </c>
      <c r="V48" s="1"/>
      <c r="W48" s="1"/>
      <c r="X48" s="1"/>
      <c r="Y48" s="1"/>
      <c r="Z48" s="1"/>
      <c r="AA48" s="1"/>
      <c r="AB48" s="5"/>
      <c r="AC48" s="4"/>
      <c r="AD48" s="3"/>
      <c r="AE48" s="2"/>
      <c r="AF48" s="1"/>
      <c r="AG48" s="45"/>
      <c r="AH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</row>
    <row r="49" spans="1:66" customFormat="1" x14ac:dyDescent="0.4">
      <c r="A49" s="1"/>
      <c r="B49" s="2"/>
      <c r="C49" s="3"/>
      <c r="D49" s="4"/>
      <c r="E49" s="5"/>
      <c r="F49" s="1"/>
      <c r="H49" s="63" t="s">
        <v>346</v>
      </c>
      <c r="I49" s="43">
        <v>37</v>
      </c>
      <c r="J49" s="43" t="s">
        <v>59</v>
      </c>
      <c r="K49" s="53">
        <f t="shared" si="0"/>
        <v>37</v>
      </c>
      <c r="L49" s="57">
        <f t="shared" si="1"/>
        <v>37</v>
      </c>
      <c r="M49" s="54" t="str">
        <f>CHAR(Table35[[#This Row],[Decimal]])</f>
        <v>%</v>
      </c>
      <c r="N49" s="1"/>
      <c r="O49" s="48">
        <f t="shared" si="2"/>
        <v>38</v>
      </c>
      <c r="P49" s="48" t="str" cm="1">
        <f t="array" ref="P49">CHAR(ROW(38:38))</f>
        <v>&amp;</v>
      </c>
      <c r="R49" s="21">
        <v>38</v>
      </c>
      <c r="S49" s="59">
        <v>12</v>
      </c>
      <c r="T49" s="48" t="str">
        <v>_x000C_</v>
      </c>
      <c r="V49" s="1"/>
      <c r="W49" s="1"/>
      <c r="X49" s="1"/>
      <c r="Y49" s="1"/>
      <c r="Z49" s="1"/>
      <c r="AA49" s="1"/>
      <c r="AB49" s="5"/>
      <c r="AC49" s="4"/>
      <c r="AD49" s="3"/>
      <c r="AE49" s="2"/>
      <c r="AF49" s="1"/>
      <c r="AG49" s="45"/>
      <c r="AH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</row>
    <row r="50" spans="1:66" customFormat="1" x14ac:dyDescent="0.4">
      <c r="A50" s="1"/>
      <c r="B50" s="2"/>
      <c r="C50" s="3"/>
      <c r="D50" s="4"/>
      <c r="E50" s="5"/>
      <c r="F50" s="1"/>
      <c r="H50" s="63" t="s">
        <v>347</v>
      </c>
      <c r="I50" s="43">
        <v>38</v>
      </c>
      <c r="J50" s="43" t="s">
        <v>60</v>
      </c>
      <c r="K50" s="53">
        <f t="shared" si="0"/>
        <v>38</v>
      </c>
      <c r="L50" s="57">
        <f t="shared" si="1"/>
        <v>38</v>
      </c>
      <c r="M50" s="54" t="str">
        <f>CHAR(Table35[[#This Row],[Decimal]])</f>
        <v>&amp;</v>
      </c>
      <c r="N50" s="1"/>
      <c r="O50" s="48">
        <f t="shared" si="2"/>
        <v>39</v>
      </c>
      <c r="P50" s="48" t="str" cm="1">
        <f t="array" ref="P50">CHAR(ROW(39:39))</f>
        <v>'</v>
      </c>
      <c r="R50" s="21">
        <v>39</v>
      </c>
      <c r="S50" s="59">
        <v>13</v>
      </c>
      <c r="T50" s="48" t="str">
        <v>_x000D_</v>
      </c>
      <c r="V50" s="1"/>
      <c r="W50" s="1"/>
      <c r="X50" s="1"/>
      <c r="Y50" s="1"/>
      <c r="Z50" s="1"/>
      <c r="AA50" s="1"/>
      <c r="AB50" s="5"/>
      <c r="AC50" s="4"/>
      <c r="AD50" s="3"/>
      <c r="AE50" s="2"/>
      <c r="AF50" s="1"/>
      <c r="AG50" s="45"/>
      <c r="AH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</row>
    <row r="51" spans="1:66" customFormat="1" x14ac:dyDescent="0.4">
      <c r="A51" s="1"/>
      <c r="B51" s="2"/>
      <c r="C51" s="3"/>
      <c r="D51" s="4"/>
      <c r="E51" s="5"/>
      <c r="F51" s="1"/>
      <c r="H51" s="63" t="s">
        <v>348</v>
      </c>
      <c r="I51" s="43">
        <v>39</v>
      </c>
      <c r="J51" s="43" t="s">
        <v>61</v>
      </c>
      <c r="K51" s="53">
        <f t="shared" si="0"/>
        <v>39</v>
      </c>
      <c r="L51" s="57">
        <f t="shared" si="1"/>
        <v>39</v>
      </c>
      <c r="M51" s="54" t="str">
        <f>CHAR(Table35[[#This Row],[Decimal]])</f>
        <v>'</v>
      </c>
      <c r="N51" s="1"/>
      <c r="O51" s="48">
        <f t="shared" si="2"/>
        <v>40</v>
      </c>
      <c r="P51" s="48" t="str" cm="1">
        <f t="array" ref="P51">CHAR(ROW(40:40))</f>
        <v>(</v>
      </c>
      <c r="R51" s="21">
        <v>40</v>
      </c>
      <c r="S51" s="59">
        <v>33</v>
      </c>
      <c r="T51" s="48" t="str">
        <v>!</v>
      </c>
      <c r="V51" s="1"/>
      <c r="W51" s="1"/>
      <c r="X51" s="1"/>
      <c r="Y51" s="1"/>
      <c r="Z51" s="1"/>
      <c r="AA51" s="1"/>
      <c r="AB51" s="5"/>
      <c r="AC51" s="4"/>
      <c r="AD51" s="3"/>
      <c r="AE51" s="2"/>
      <c r="AF51" s="1"/>
      <c r="AG51" s="45"/>
      <c r="AH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</row>
    <row r="52" spans="1:66" customFormat="1" x14ac:dyDescent="0.4">
      <c r="A52" s="1"/>
      <c r="B52" s="2"/>
      <c r="C52" s="3"/>
      <c r="D52" s="4"/>
      <c r="E52" s="5"/>
      <c r="F52" s="1"/>
      <c r="H52" s="63" t="s">
        <v>349</v>
      </c>
      <c r="I52" s="43">
        <v>40</v>
      </c>
      <c r="J52" s="43" t="s">
        <v>62</v>
      </c>
      <c r="K52" s="53">
        <f t="shared" si="0"/>
        <v>40</v>
      </c>
      <c r="L52" s="57">
        <f t="shared" si="1"/>
        <v>40</v>
      </c>
      <c r="M52" s="54" t="str">
        <f>CHAR(Table35[[#This Row],[Decimal]])</f>
        <v>(</v>
      </c>
      <c r="N52" s="1"/>
      <c r="O52" s="48">
        <f t="shared" si="2"/>
        <v>41</v>
      </c>
      <c r="P52" s="48" t="str" cm="1">
        <f t="array" ref="P52">CHAR(ROW(41:41))</f>
        <v>)</v>
      </c>
      <c r="R52" s="21">
        <v>41</v>
      </c>
      <c r="S52" s="59">
        <v>34</v>
      </c>
      <c r="T52" s="48" t="str">
        <v>"</v>
      </c>
      <c r="V52" s="1"/>
      <c r="W52" s="1"/>
      <c r="X52" s="1"/>
      <c r="Y52" s="1"/>
      <c r="Z52" s="1"/>
      <c r="AA52" s="1"/>
      <c r="AB52" s="5"/>
      <c r="AC52" s="4"/>
      <c r="AD52" s="3"/>
      <c r="AE52" s="2"/>
      <c r="AF52" s="1"/>
      <c r="AG52" s="45"/>
      <c r="AH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</row>
    <row r="53" spans="1:66" customFormat="1" x14ac:dyDescent="0.4">
      <c r="A53" s="1"/>
      <c r="B53" s="2"/>
      <c r="C53" s="3"/>
      <c r="D53" s="4"/>
      <c r="E53" s="5"/>
      <c r="F53" s="1"/>
      <c r="H53" s="63" t="s">
        <v>350</v>
      </c>
      <c r="I53" s="43">
        <v>41</v>
      </c>
      <c r="J53" s="43" t="s">
        <v>63</v>
      </c>
      <c r="K53" s="53">
        <f t="shared" si="0"/>
        <v>41</v>
      </c>
      <c r="L53" s="57">
        <f t="shared" si="1"/>
        <v>41</v>
      </c>
      <c r="M53" s="54" t="str">
        <f>CHAR(Table35[[#This Row],[Decimal]])</f>
        <v>)</v>
      </c>
      <c r="N53" s="1"/>
      <c r="O53" s="48">
        <f t="shared" si="2"/>
        <v>42</v>
      </c>
      <c r="P53" s="48" t="str" cm="1">
        <f t="array" ref="P53">CHAR(ROW(42:42))</f>
        <v>*</v>
      </c>
      <c r="R53" s="21">
        <v>42</v>
      </c>
      <c r="S53" s="59">
        <v>35</v>
      </c>
      <c r="T53" s="48" t="str">
        <v>#</v>
      </c>
      <c r="V53" s="1"/>
      <c r="W53" s="1"/>
      <c r="X53" s="1"/>
      <c r="Y53" s="1"/>
      <c r="Z53" s="1"/>
      <c r="AA53" s="1"/>
      <c r="AB53" s="5"/>
      <c r="AC53" s="4"/>
      <c r="AD53" s="3"/>
      <c r="AE53" s="2"/>
      <c r="AF53" s="1"/>
      <c r="AG53" s="45"/>
      <c r="AH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</row>
    <row r="54" spans="1:66" customFormat="1" x14ac:dyDescent="0.4">
      <c r="A54" s="1"/>
      <c r="B54" s="2"/>
      <c r="C54" s="3"/>
      <c r="D54" s="4"/>
      <c r="E54" s="5"/>
      <c r="F54" s="1"/>
      <c r="H54" s="63" t="s">
        <v>351</v>
      </c>
      <c r="I54" s="43">
        <v>42</v>
      </c>
      <c r="J54" s="43" t="s">
        <v>64</v>
      </c>
      <c r="K54" s="53">
        <f t="shared" si="0"/>
        <v>42</v>
      </c>
      <c r="L54" s="57">
        <f t="shared" si="1"/>
        <v>42</v>
      </c>
      <c r="M54" s="54" t="str">
        <f>CHAR(Table35[[#This Row],[Decimal]])</f>
        <v>*</v>
      </c>
      <c r="N54" s="1"/>
      <c r="O54" s="48">
        <f t="shared" si="2"/>
        <v>43</v>
      </c>
      <c r="P54" s="48" t="str" cm="1">
        <f t="array" ref="P54">CHAR(ROW(43:43))</f>
        <v>+</v>
      </c>
      <c r="R54" s="21">
        <v>43</v>
      </c>
      <c r="S54" s="59">
        <v>36</v>
      </c>
      <c r="T54" s="48" t="str">
        <v>$</v>
      </c>
      <c r="V54" s="1"/>
      <c r="W54" s="1"/>
      <c r="X54" s="1"/>
      <c r="Y54" s="1"/>
      <c r="Z54" s="1"/>
      <c r="AA54" s="1"/>
      <c r="AB54" s="5"/>
      <c r="AC54" s="4"/>
      <c r="AD54" s="3"/>
      <c r="AE54" s="2"/>
      <c r="AF54" s="1"/>
      <c r="AG54" s="45"/>
      <c r="AH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</row>
    <row r="55" spans="1:66" customFormat="1" x14ac:dyDescent="0.4">
      <c r="A55" s="1"/>
      <c r="B55" s="2"/>
      <c r="C55" s="3"/>
      <c r="D55" s="4"/>
      <c r="E55" s="5"/>
      <c r="F55" s="1"/>
      <c r="H55" s="63" t="s">
        <v>352</v>
      </c>
      <c r="I55" s="43">
        <v>43</v>
      </c>
      <c r="J55" s="43" t="s">
        <v>65</v>
      </c>
      <c r="K55" s="53">
        <f t="shared" si="0"/>
        <v>43</v>
      </c>
      <c r="L55" s="57">
        <f t="shared" si="1"/>
        <v>43</v>
      </c>
      <c r="M55" s="54" t="str">
        <f>CHAR(Table35[[#This Row],[Decimal]])</f>
        <v>+</v>
      </c>
      <c r="N55" s="1"/>
      <c r="O55" s="48">
        <f t="shared" si="2"/>
        <v>44</v>
      </c>
      <c r="P55" s="48" t="str" cm="1">
        <f t="array" ref="P55">CHAR(ROW(44:44))</f>
        <v>,</v>
      </c>
      <c r="R55" s="21">
        <v>44</v>
      </c>
      <c r="S55" s="59">
        <v>37</v>
      </c>
      <c r="T55" s="48" t="str">
        <v>%</v>
      </c>
      <c r="V55" s="1"/>
      <c r="W55" s="1"/>
      <c r="X55" s="1"/>
      <c r="Y55" s="1"/>
      <c r="Z55" s="1"/>
      <c r="AA55" s="1"/>
      <c r="AB55" s="5"/>
      <c r="AC55" s="4"/>
      <c r="AD55" s="3"/>
      <c r="AE55" s="2"/>
      <c r="AF55" s="1"/>
      <c r="AG55" s="45"/>
      <c r="AH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</row>
    <row r="56" spans="1:66" customFormat="1" x14ac:dyDescent="0.4">
      <c r="A56" s="1"/>
      <c r="B56" s="2"/>
      <c r="C56" s="3"/>
      <c r="D56" s="4"/>
      <c r="E56" s="5"/>
      <c r="F56" s="1"/>
      <c r="H56" s="63" t="s">
        <v>353</v>
      </c>
      <c r="I56" s="43">
        <v>44</v>
      </c>
      <c r="J56" s="43" t="s">
        <v>66</v>
      </c>
      <c r="K56" s="53">
        <f t="shared" si="0"/>
        <v>44</v>
      </c>
      <c r="L56" s="57">
        <f t="shared" si="1"/>
        <v>44</v>
      </c>
      <c r="M56" s="54" t="str">
        <f>CHAR(Table35[[#This Row],[Decimal]])</f>
        <v>,</v>
      </c>
      <c r="N56" s="1"/>
      <c r="O56" s="48">
        <f t="shared" si="2"/>
        <v>45</v>
      </c>
      <c r="P56" s="48" t="str" cm="1">
        <f t="array" ref="P56">CHAR(ROW(45:45))</f>
        <v>-</v>
      </c>
      <c r="R56" s="21">
        <v>45</v>
      </c>
      <c r="S56" s="59">
        <v>38</v>
      </c>
      <c r="T56" s="48" t="str">
        <v>&amp;</v>
      </c>
      <c r="V56" s="1"/>
      <c r="W56" s="1"/>
      <c r="X56" s="1"/>
      <c r="Y56" s="1"/>
      <c r="Z56" s="1"/>
      <c r="AA56" s="1"/>
      <c r="AB56" s="5"/>
      <c r="AC56" s="4"/>
      <c r="AD56" s="3"/>
      <c r="AE56" s="2"/>
      <c r="AF56" s="1"/>
      <c r="AG56" s="45"/>
      <c r="AH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</row>
    <row r="57" spans="1:66" customFormat="1" x14ac:dyDescent="0.4">
      <c r="A57" s="1"/>
      <c r="B57" s="2"/>
      <c r="C57" s="3"/>
      <c r="D57" s="4"/>
      <c r="E57" s="5"/>
      <c r="F57" s="1"/>
      <c r="H57" s="63" t="s">
        <v>354</v>
      </c>
      <c r="I57" s="43">
        <v>45</v>
      </c>
      <c r="J57" s="43" t="s">
        <v>67</v>
      </c>
      <c r="K57" s="53">
        <f t="shared" si="0"/>
        <v>45</v>
      </c>
      <c r="L57" s="57">
        <f t="shared" si="1"/>
        <v>45</v>
      </c>
      <c r="M57" s="54" t="str">
        <f>CHAR(Table35[[#This Row],[Decimal]])</f>
        <v>-</v>
      </c>
      <c r="N57" s="1"/>
      <c r="O57" s="48">
        <f t="shared" si="2"/>
        <v>46</v>
      </c>
      <c r="P57" s="48" t="str" cm="1">
        <f t="array" ref="P57">CHAR(ROW(46:46))</f>
        <v>.</v>
      </c>
      <c r="R57" s="21">
        <v>46</v>
      </c>
      <c r="S57" s="59">
        <v>40</v>
      </c>
      <c r="T57" s="48" t="str">
        <v>(</v>
      </c>
      <c r="V57" s="1"/>
      <c r="W57" s="1"/>
      <c r="X57" s="1"/>
      <c r="Y57" s="1"/>
      <c r="Z57" s="1"/>
      <c r="AA57" s="1"/>
      <c r="AB57" s="5"/>
      <c r="AC57" s="4"/>
      <c r="AD57" s="3"/>
      <c r="AE57" s="2"/>
      <c r="AF57" s="1"/>
      <c r="AG57" s="45"/>
      <c r="AH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</row>
    <row r="58" spans="1:66" customFormat="1" x14ac:dyDescent="0.4">
      <c r="A58" s="1"/>
      <c r="B58" s="2"/>
      <c r="C58" s="3"/>
      <c r="D58" s="4"/>
      <c r="E58" s="5"/>
      <c r="F58" s="1"/>
      <c r="H58" s="63" t="s">
        <v>355</v>
      </c>
      <c r="I58" s="43">
        <v>46</v>
      </c>
      <c r="J58" s="43" t="s">
        <v>68</v>
      </c>
      <c r="K58" s="53">
        <f t="shared" si="0"/>
        <v>46</v>
      </c>
      <c r="L58" s="57">
        <f t="shared" si="1"/>
        <v>46</v>
      </c>
      <c r="M58" s="54" t="str">
        <f>CHAR(Table35[[#This Row],[Decimal]])</f>
        <v>.</v>
      </c>
      <c r="N58" s="1"/>
      <c r="O58" s="48">
        <f t="shared" si="2"/>
        <v>47</v>
      </c>
      <c r="P58" s="48" t="str" cm="1">
        <f t="array" ref="P58">CHAR(ROW(47:47))</f>
        <v>/</v>
      </c>
      <c r="R58" s="21">
        <v>47</v>
      </c>
      <c r="S58" s="59">
        <v>41</v>
      </c>
      <c r="T58" s="48" t="str">
        <v>)</v>
      </c>
      <c r="V58" s="1"/>
      <c r="W58" s="1"/>
      <c r="X58" s="1"/>
      <c r="Y58" s="1"/>
      <c r="Z58" s="1"/>
      <c r="AA58" s="1"/>
      <c r="AB58" s="5"/>
      <c r="AC58" s="4"/>
      <c r="AD58" s="3"/>
      <c r="AE58" s="2"/>
      <c r="AF58" s="1"/>
      <c r="AG58" s="45"/>
      <c r="AH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</row>
    <row r="59" spans="1:66" customFormat="1" x14ac:dyDescent="0.4">
      <c r="A59" s="1"/>
      <c r="B59" s="2"/>
      <c r="C59" s="3"/>
      <c r="D59" s="4"/>
      <c r="E59" s="5"/>
      <c r="F59" s="1"/>
      <c r="H59" s="63" t="s">
        <v>356</v>
      </c>
      <c r="I59" s="43">
        <v>47</v>
      </c>
      <c r="J59" s="43" t="s">
        <v>69</v>
      </c>
      <c r="K59" s="53">
        <f t="shared" si="0"/>
        <v>47</v>
      </c>
      <c r="L59" s="57">
        <f t="shared" si="1"/>
        <v>47</v>
      </c>
      <c r="M59" s="54" t="str">
        <f>CHAR(Table35[[#This Row],[Decimal]])</f>
        <v>/</v>
      </c>
      <c r="N59" s="1"/>
      <c r="O59" s="48">
        <f t="shared" si="2"/>
        <v>48</v>
      </c>
      <c r="P59" s="48" t="str" cm="1">
        <f t="array" ref="P59">CHAR(ROW(48:48))</f>
        <v>0</v>
      </c>
      <c r="R59" s="21">
        <v>48</v>
      </c>
      <c r="S59" s="59">
        <v>42</v>
      </c>
      <c r="T59" s="48" t="str">
        <v>*</v>
      </c>
      <c r="V59" s="1"/>
      <c r="W59" s="1"/>
      <c r="X59" s="1"/>
      <c r="Y59" s="1"/>
      <c r="Z59" s="1"/>
      <c r="AA59" s="1"/>
      <c r="AB59" s="5"/>
      <c r="AC59" s="4"/>
      <c r="AD59" s="3"/>
      <c r="AE59" s="2"/>
      <c r="AF59" s="1"/>
      <c r="AG59" s="45"/>
      <c r="AH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</row>
    <row r="60" spans="1:66" customFormat="1" x14ac:dyDescent="0.4">
      <c r="A60" s="1"/>
      <c r="B60" s="2"/>
      <c r="C60" s="3"/>
      <c r="D60" s="4"/>
      <c r="E60" s="5"/>
      <c r="F60" s="1"/>
      <c r="H60" s="63" t="s">
        <v>357</v>
      </c>
      <c r="I60" s="43">
        <v>48</v>
      </c>
      <c r="J60" s="43">
        <v>0</v>
      </c>
      <c r="K60" s="53">
        <f t="shared" si="0"/>
        <v>48</v>
      </c>
      <c r="L60" s="57">
        <f t="shared" si="1"/>
        <v>48</v>
      </c>
      <c r="M60" s="54" t="str">
        <f>CHAR(Table35[[#This Row],[Decimal]])</f>
        <v>0</v>
      </c>
      <c r="N60" s="1"/>
      <c r="O60" s="48">
        <f t="shared" si="2"/>
        <v>49</v>
      </c>
      <c r="P60" s="48" t="str" cm="1">
        <f t="array" ref="P60">CHAR(ROW(49:49))</f>
        <v>1</v>
      </c>
      <c r="R60" s="21">
        <v>49</v>
      </c>
      <c r="S60" s="59">
        <v>44</v>
      </c>
      <c r="T60" s="48" t="str">
        <v>,</v>
      </c>
      <c r="V60" s="1"/>
      <c r="W60" s="1"/>
      <c r="X60" s="1"/>
      <c r="Y60" s="1"/>
      <c r="Z60" s="1"/>
      <c r="AA60" s="1"/>
      <c r="AB60" s="5"/>
      <c r="AC60" s="4"/>
      <c r="AD60" s="3"/>
      <c r="AE60" s="2"/>
      <c r="AF60" s="1"/>
      <c r="AG60" s="45"/>
      <c r="AH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</row>
    <row r="61" spans="1:66" customFormat="1" x14ac:dyDescent="0.4">
      <c r="A61" s="1"/>
      <c r="B61" s="2"/>
      <c r="C61" s="3"/>
      <c r="D61" s="4"/>
      <c r="E61" s="5"/>
      <c r="F61" s="1"/>
      <c r="H61" s="63" t="s">
        <v>358</v>
      </c>
      <c r="I61" s="43">
        <v>49</v>
      </c>
      <c r="J61" s="43">
        <v>1</v>
      </c>
      <c r="K61" s="53">
        <f t="shared" si="0"/>
        <v>49</v>
      </c>
      <c r="L61" s="57">
        <f t="shared" si="1"/>
        <v>49</v>
      </c>
      <c r="M61" s="54" t="str">
        <f>CHAR(Table35[[#This Row],[Decimal]])</f>
        <v>1</v>
      </c>
      <c r="N61" s="1"/>
      <c r="O61" s="48">
        <f t="shared" si="2"/>
        <v>50</v>
      </c>
      <c r="P61" s="48" t="str" cm="1">
        <f t="array" ref="P61">CHAR(ROW(50:50))</f>
        <v>2</v>
      </c>
      <c r="R61" s="21">
        <v>50</v>
      </c>
      <c r="S61" s="59">
        <v>46</v>
      </c>
      <c r="T61" s="48" t="str">
        <v>.</v>
      </c>
      <c r="V61" s="1"/>
      <c r="W61" s="1"/>
      <c r="X61" s="1"/>
      <c r="Y61" s="1"/>
      <c r="Z61" s="1"/>
      <c r="AA61" s="1"/>
      <c r="AB61" s="5"/>
      <c r="AC61" s="4"/>
      <c r="AD61" s="3"/>
      <c r="AE61" s="2"/>
      <c r="AF61" s="1"/>
      <c r="AG61" s="45"/>
      <c r="AH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</row>
    <row r="62" spans="1:66" customFormat="1" x14ac:dyDescent="0.4">
      <c r="A62" s="1"/>
      <c r="B62" s="2"/>
      <c r="C62" s="3"/>
      <c r="D62" s="4"/>
      <c r="E62" s="5"/>
      <c r="F62" s="1"/>
      <c r="H62" s="63" t="s">
        <v>359</v>
      </c>
      <c r="I62" s="43">
        <v>50</v>
      </c>
      <c r="J62" s="43">
        <v>2</v>
      </c>
      <c r="K62" s="53">
        <f t="shared" si="0"/>
        <v>50</v>
      </c>
      <c r="L62" s="57">
        <f t="shared" si="1"/>
        <v>50</v>
      </c>
      <c r="M62" s="54" t="str">
        <f>CHAR(Table35[[#This Row],[Decimal]])</f>
        <v>2</v>
      </c>
      <c r="N62" s="1"/>
      <c r="O62" s="48">
        <f t="shared" si="2"/>
        <v>51</v>
      </c>
      <c r="P62" s="48" t="str" cm="1">
        <f t="array" ref="P62">CHAR(ROW(51:51))</f>
        <v>3</v>
      </c>
      <c r="R62" s="21">
        <v>51</v>
      </c>
      <c r="S62" s="59">
        <v>47</v>
      </c>
      <c r="T62" s="48" t="str">
        <v>/</v>
      </c>
      <c r="V62" s="1"/>
      <c r="W62" s="1"/>
      <c r="X62" s="1"/>
      <c r="Y62" s="1"/>
      <c r="Z62" s="1"/>
      <c r="AA62" s="1"/>
      <c r="AB62" s="5"/>
      <c r="AC62" s="4"/>
      <c r="AD62" s="3"/>
      <c r="AE62" s="2"/>
      <c r="AF62" s="1"/>
      <c r="AG62" s="45"/>
      <c r="AH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</row>
    <row r="63" spans="1:66" customFormat="1" x14ac:dyDescent="0.4">
      <c r="A63" s="1"/>
      <c r="B63" s="2"/>
      <c r="C63" s="3"/>
      <c r="D63" s="4"/>
      <c r="E63" s="5"/>
      <c r="F63" s="1"/>
      <c r="H63" s="63" t="s">
        <v>360</v>
      </c>
      <c r="I63" s="43">
        <v>51</v>
      </c>
      <c r="J63" s="43">
        <v>3</v>
      </c>
      <c r="K63" s="53">
        <f t="shared" si="0"/>
        <v>51</v>
      </c>
      <c r="L63" s="57">
        <f t="shared" si="1"/>
        <v>51</v>
      </c>
      <c r="M63" s="54" t="str">
        <f>CHAR(Table35[[#This Row],[Decimal]])</f>
        <v>3</v>
      </c>
      <c r="N63" s="1"/>
      <c r="O63" s="48">
        <f t="shared" si="2"/>
        <v>52</v>
      </c>
      <c r="P63" s="48" t="str" cm="1">
        <f t="array" ref="P63">CHAR(ROW(52:52))</f>
        <v>4</v>
      </c>
      <c r="R63" s="21">
        <v>52</v>
      </c>
      <c r="S63" s="59">
        <v>58</v>
      </c>
      <c r="T63" s="48" t="str">
        <v>:</v>
      </c>
      <c r="V63" s="1"/>
      <c r="W63" s="1"/>
      <c r="X63" s="1"/>
      <c r="Y63" s="1"/>
      <c r="Z63" s="1"/>
      <c r="AA63" s="1"/>
      <c r="AB63" s="5"/>
      <c r="AC63" s="4"/>
      <c r="AD63" s="3"/>
      <c r="AE63" s="2"/>
      <c r="AF63" s="1"/>
      <c r="AG63" s="45"/>
      <c r="AH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</row>
    <row r="64" spans="1:66" customFormat="1" x14ac:dyDescent="0.4">
      <c r="A64" s="1"/>
      <c r="B64" s="2"/>
      <c r="C64" s="3"/>
      <c r="D64" s="4"/>
      <c r="E64" s="5"/>
      <c r="F64" s="1"/>
      <c r="H64" s="63" t="s">
        <v>361</v>
      </c>
      <c r="I64" s="43">
        <v>52</v>
      </c>
      <c r="J64" s="43">
        <v>4</v>
      </c>
      <c r="K64" s="53">
        <f t="shared" si="0"/>
        <v>52</v>
      </c>
      <c r="L64" s="57">
        <f t="shared" si="1"/>
        <v>52</v>
      </c>
      <c r="M64" s="54" t="str">
        <f>CHAR(Table35[[#This Row],[Decimal]])</f>
        <v>4</v>
      </c>
      <c r="N64" s="1"/>
      <c r="O64" s="48">
        <f t="shared" si="2"/>
        <v>53</v>
      </c>
      <c r="P64" s="48" t="str" cm="1">
        <f t="array" ref="P64">CHAR(ROW(53:53))</f>
        <v>5</v>
      </c>
      <c r="R64" s="21">
        <v>53</v>
      </c>
      <c r="S64" s="59">
        <v>59</v>
      </c>
      <c r="T64" s="48" t="str">
        <v>;</v>
      </c>
      <c r="V64" s="1"/>
      <c r="W64" s="1"/>
      <c r="X64" s="1"/>
      <c r="Y64" s="1"/>
      <c r="Z64" s="1"/>
      <c r="AA64" s="1"/>
      <c r="AB64" s="5"/>
      <c r="AC64" s="4"/>
      <c r="AD64" s="3"/>
      <c r="AE64" s="2"/>
      <c r="AF64" s="1"/>
      <c r="AG64" s="45"/>
      <c r="AH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</row>
    <row r="65" spans="1:66" customFormat="1" x14ac:dyDescent="0.4">
      <c r="A65" s="1"/>
      <c r="B65" s="2"/>
      <c r="C65" s="3"/>
      <c r="D65" s="4"/>
      <c r="E65" s="5"/>
      <c r="F65" s="1"/>
      <c r="H65" s="63" t="s">
        <v>362</v>
      </c>
      <c r="I65" s="43">
        <v>53</v>
      </c>
      <c r="J65" s="43">
        <v>5</v>
      </c>
      <c r="K65" s="53">
        <f t="shared" si="0"/>
        <v>53</v>
      </c>
      <c r="L65" s="57">
        <f t="shared" si="1"/>
        <v>53</v>
      </c>
      <c r="M65" s="54" t="str">
        <f>CHAR(Table35[[#This Row],[Decimal]])</f>
        <v>5</v>
      </c>
      <c r="N65" s="1"/>
      <c r="O65" s="48">
        <f t="shared" si="2"/>
        <v>54</v>
      </c>
      <c r="P65" s="48" t="str" cm="1">
        <f t="array" ref="P65">CHAR(ROW(54:54))</f>
        <v>6</v>
      </c>
      <c r="R65" s="21">
        <v>54</v>
      </c>
      <c r="S65" s="59">
        <v>63</v>
      </c>
      <c r="T65" s="48" t="str">
        <v>?</v>
      </c>
      <c r="V65" s="1"/>
      <c r="W65" s="1"/>
      <c r="X65" s="1"/>
      <c r="Y65" s="1"/>
      <c r="Z65" s="1"/>
      <c r="AA65" s="1"/>
      <c r="AB65" s="5"/>
      <c r="AC65" s="4"/>
      <c r="AD65" s="3"/>
      <c r="AE65" s="2"/>
      <c r="AF65" s="1"/>
      <c r="AG65" s="45"/>
      <c r="AH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</row>
    <row r="66" spans="1:66" customFormat="1" x14ac:dyDescent="0.4">
      <c r="A66" s="1"/>
      <c r="B66" s="2"/>
      <c r="C66" s="3"/>
      <c r="D66" s="4"/>
      <c r="E66" s="5"/>
      <c r="F66" s="1"/>
      <c r="H66" s="63" t="s">
        <v>363</v>
      </c>
      <c r="I66" s="43">
        <v>54</v>
      </c>
      <c r="J66" s="43">
        <v>6</v>
      </c>
      <c r="K66" s="53">
        <f t="shared" si="0"/>
        <v>54</v>
      </c>
      <c r="L66" s="57">
        <f t="shared" si="1"/>
        <v>54</v>
      </c>
      <c r="M66" s="54" t="str">
        <f>CHAR(Table35[[#This Row],[Decimal]])</f>
        <v>6</v>
      </c>
      <c r="N66" s="1"/>
      <c r="O66" s="48">
        <f t="shared" si="2"/>
        <v>55</v>
      </c>
      <c r="P66" s="48" t="str" cm="1">
        <f t="array" ref="P66">CHAR(ROW(55:55))</f>
        <v>7</v>
      </c>
      <c r="R66" s="21">
        <v>55</v>
      </c>
      <c r="S66" s="59">
        <v>64</v>
      </c>
      <c r="T66" s="48" t="str">
        <v>@</v>
      </c>
      <c r="V66" s="1"/>
      <c r="W66" s="1"/>
      <c r="X66" s="1"/>
      <c r="Y66" s="1"/>
      <c r="Z66" s="1"/>
      <c r="AA66" s="1"/>
      <c r="AB66" s="5"/>
      <c r="AC66" s="4"/>
      <c r="AD66" s="3"/>
      <c r="AE66" s="2"/>
      <c r="AF66" s="1"/>
      <c r="AG66" s="45"/>
      <c r="AH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</row>
    <row r="67" spans="1:66" customFormat="1" x14ac:dyDescent="0.4">
      <c r="A67" s="1"/>
      <c r="B67" s="2"/>
      <c r="C67" s="3"/>
      <c r="D67" s="4"/>
      <c r="E67" s="5"/>
      <c r="F67" s="1"/>
      <c r="H67" s="63" t="s">
        <v>364</v>
      </c>
      <c r="I67" s="43">
        <v>55</v>
      </c>
      <c r="J67" s="43">
        <v>7</v>
      </c>
      <c r="K67" s="53">
        <f t="shared" si="0"/>
        <v>55</v>
      </c>
      <c r="L67" s="57">
        <f t="shared" si="1"/>
        <v>55</v>
      </c>
      <c r="M67" s="54" t="str">
        <f>CHAR(Table35[[#This Row],[Decimal]])</f>
        <v>7</v>
      </c>
      <c r="N67" s="1"/>
      <c r="O67" s="48">
        <f t="shared" si="2"/>
        <v>56</v>
      </c>
      <c r="P67" s="48" t="str" cm="1">
        <f t="array" ref="P67">CHAR(ROW(56:56))</f>
        <v>8</v>
      </c>
      <c r="R67" s="21">
        <v>56</v>
      </c>
      <c r="S67" s="59">
        <v>91</v>
      </c>
      <c r="T67" s="48" t="str">
        <v>[</v>
      </c>
      <c r="V67" s="1"/>
      <c r="W67" s="1"/>
      <c r="X67" s="1"/>
      <c r="Y67" s="1"/>
      <c r="Z67" s="1"/>
      <c r="AA67" s="1"/>
      <c r="AB67" s="5"/>
      <c r="AC67" s="4"/>
      <c r="AD67" s="3"/>
      <c r="AE67" s="2"/>
      <c r="AF67" s="1"/>
      <c r="AG67" s="45"/>
      <c r="AH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</row>
    <row r="68" spans="1:66" customFormat="1" x14ac:dyDescent="0.4">
      <c r="A68" s="1"/>
      <c r="B68" s="2"/>
      <c r="C68" s="3"/>
      <c r="D68" s="4"/>
      <c r="E68" s="5"/>
      <c r="F68" s="1"/>
      <c r="H68" s="63" t="s">
        <v>365</v>
      </c>
      <c r="I68" s="43">
        <v>56</v>
      </c>
      <c r="J68" s="43">
        <v>8</v>
      </c>
      <c r="K68" s="53">
        <f t="shared" si="0"/>
        <v>56</v>
      </c>
      <c r="L68" s="57">
        <f t="shared" si="1"/>
        <v>56</v>
      </c>
      <c r="M68" s="54" t="str">
        <f>CHAR(Table35[[#This Row],[Decimal]])</f>
        <v>8</v>
      </c>
      <c r="N68" s="1"/>
      <c r="O68" s="48">
        <f t="shared" si="2"/>
        <v>57</v>
      </c>
      <c r="P68" s="48" t="str" cm="1">
        <f t="array" ref="P68">CHAR(ROW(57:57))</f>
        <v>9</v>
      </c>
      <c r="R68" s="21">
        <v>57</v>
      </c>
      <c r="S68" s="59">
        <v>92</v>
      </c>
      <c r="T68" s="48" t="str">
        <v>\</v>
      </c>
      <c r="V68" s="1"/>
      <c r="W68" s="1"/>
      <c r="X68" s="1"/>
      <c r="Y68" s="1"/>
      <c r="Z68" s="1"/>
      <c r="AA68" s="1"/>
      <c r="AB68" s="5"/>
      <c r="AC68" s="4"/>
      <c r="AD68" s="3"/>
      <c r="AE68" s="2"/>
      <c r="AF68" s="1"/>
      <c r="AG68" s="45"/>
      <c r="AH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</row>
    <row r="69" spans="1:66" customFormat="1" x14ac:dyDescent="0.4">
      <c r="A69" s="1"/>
      <c r="B69" s="2"/>
      <c r="C69" s="3"/>
      <c r="D69" s="4"/>
      <c r="E69" s="5"/>
      <c r="F69" s="1"/>
      <c r="H69" s="63" t="s">
        <v>366</v>
      </c>
      <c r="I69" s="43">
        <v>57</v>
      </c>
      <c r="J69" s="43">
        <v>9</v>
      </c>
      <c r="K69" s="53">
        <f t="shared" si="0"/>
        <v>57</v>
      </c>
      <c r="L69" s="57">
        <f t="shared" si="1"/>
        <v>57</v>
      </c>
      <c r="M69" s="54" t="str">
        <f>CHAR(Table35[[#This Row],[Decimal]])</f>
        <v>9</v>
      </c>
      <c r="N69" s="1"/>
      <c r="O69" s="48">
        <f t="shared" si="2"/>
        <v>58</v>
      </c>
      <c r="P69" s="48" t="str" cm="1">
        <f t="array" ref="P69">CHAR(ROW(58:58))</f>
        <v>:</v>
      </c>
      <c r="R69" s="21">
        <v>58</v>
      </c>
      <c r="S69" s="59">
        <v>93</v>
      </c>
      <c r="T69" s="48" t="str">
        <v>]</v>
      </c>
      <c r="V69" s="1"/>
      <c r="W69" s="1"/>
      <c r="X69" s="1"/>
      <c r="Y69" s="1"/>
      <c r="Z69" s="1"/>
      <c r="AA69" s="1"/>
      <c r="AB69" s="5"/>
      <c r="AC69" s="4"/>
      <c r="AD69" s="3"/>
      <c r="AE69" s="2"/>
      <c r="AF69" s="1"/>
      <c r="AG69" s="45"/>
      <c r="AH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</row>
    <row r="70" spans="1:66" customFormat="1" x14ac:dyDescent="0.4">
      <c r="A70" s="1"/>
      <c r="B70" s="2"/>
      <c r="C70" s="3"/>
      <c r="D70" s="4"/>
      <c r="E70" s="5"/>
      <c r="F70" s="1"/>
      <c r="H70" s="63" t="s">
        <v>367</v>
      </c>
      <c r="I70" s="43">
        <v>58</v>
      </c>
      <c r="J70" s="43" t="s">
        <v>70</v>
      </c>
      <c r="K70" s="53">
        <f t="shared" si="0"/>
        <v>58</v>
      </c>
      <c r="L70" s="57">
        <f t="shared" si="1"/>
        <v>58</v>
      </c>
      <c r="M70" s="54" t="str">
        <f>CHAR(Table35[[#This Row],[Decimal]])</f>
        <v>:</v>
      </c>
      <c r="N70" s="1"/>
      <c r="O70" s="48">
        <f t="shared" si="2"/>
        <v>59</v>
      </c>
      <c r="P70" s="48" t="str" cm="1">
        <f t="array" ref="P70">CHAR(ROW(59:59))</f>
        <v>;</v>
      </c>
      <c r="R70" s="21">
        <v>59</v>
      </c>
      <c r="S70" s="59">
        <v>94</v>
      </c>
      <c r="T70" s="48" t="str">
        <v>^</v>
      </c>
      <c r="V70" s="1"/>
      <c r="W70" s="1"/>
      <c r="X70" s="1"/>
      <c r="Y70" s="1"/>
      <c r="Z70" s="1"/>
      <c r="AA70" s="1"/>
      <c r="AB70" s="5"/>
      <c r="AC70" s="4"/>
      <c r="AD70" s="3"/>
      <c r="AE70" s="2"/>
      <c r="AF70" s="1"/>
      <c r="AG70" s="45"/>
      <c r="AH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</row>
    <row r="71" spans="1:66" customFormat="1" x14ac:dyDescent="0.4">
      <c r="A71" s="1"/>
      <c r="B71" s="2"/>
      <c r="C71" s="3"/>
      <c r="D71" s="4"/>
      <c r="E71" s="5"/>
      <c r="F71" s="1"/>
      <c r="H71" s="63" t="s">
        <v>368</v>
      </c>
      <c r="I71" s="43">
        <v>59</v>
      </c>
      <c r="J71" s="43" t="s">
        <v>71</v>
      </c>
      <c r="K71" s="53">
        <f t="shared" si="0"/>
        <v>59</v>
      </c>
      <c r="L71" s="57">
        <f t="shared" si="1"/>
        <v>59</v>
      </c>
      <c r="M71" s="54" t="str">
        <f>CHAR(Table35[[#This Row],[Decimal]])</f>
        <v>;</v>
      </c>
      <c r="N71" s="1"/>
      <c r="O71" s="48">
        <f t="shared" si="2"/>
        <v>60</v>
      </c>
      <c r="P71" s="48" t="str" cm="1">
        <f t="array" ref="P71">CHAR(ROW(60:60))</f>
        <v>&lt;</v>
      </c>
      <c r="R71" s="21">
        <v>60</v>
      </c>
      <c r="S71" s="59">
        <v>136</v>
      </c>
      <c r="T71" s="48" t="str">
        <v>ˆ</v>
      </c>
      <c r="V71" s="1"/>
      <c r="W71" s="1"/>
      <c r="X71" s="1"/>
      <c r="Y71" s="1"/>
      <c r="Z71" s="1"/>
      <c r="AA71" s="1"/>
      <c r="AB71" s="5"/>
      <c r="AC71" s="4"/>
      <c r="AD71" s="3"/>
      <c r="AE71" s="2"/>
      <c r="AF71" s="1"/>
      <c r="AG71" s="45"/>
      <c r="AH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</row>
    <row r="72" spans="1:66" customFormat="1" x14ac:dyDescent="0.4">
      <c r="A72" s="1"/>
      <c r="B72" s="2"/>
      <c r="C72" s="3"/>
      <c r="D72" s="4"/>
      <c r="E72" s="5"/>
      <c r="F72" s="1"/>
      <c r="H72" s="63" t="s">
        <v>369</v>
      </c>
      <c r="I72" s="43">
        <v>60</v>
      </c>
      <c r="J72" s="43" t="s">
        <v>72</v>
      </c>
      <c r="K72" s="53">
        <f t="shared" si="0"/>
        <v>60</v>
      </c>
      <c r="L72" s="57">
        <f t="shared" si="1"/>
        <v>60</v>
      </c>
      <c r="M72" s="54" t="str">
        <f>CHAR(Table35[[#This Row],[Decimal]])</f>
        <v>&lt;</v>
      </c>
      <c r="N72" s="1"/>
      <c r="O72" s="48">
        <f t="shared" si="2"/>
        <v>61</v>
      </c>
      <c r="P72" s="48" t="str" cm="1">
        <f t="array" ref="P72">CHAR(ROW(61:61))</f>
        <v>=</v>
      </c>
      <c r="R72" s="21">
        <v>61</v>
      </c>
      <c r="S72" s="59">
        <v>95</v>
      </c>
      <c r="T72" s="48" t="str">
        <v>_</v>
      </c>
      <c r="V72" s="1"/>
      <c r="W72" s="1"/>
      <c r="X72" s="1"/>
      <c r="Y72" s="1"/>
      <c r="Z72" s="1"/>
      <c r="AA72" s="1"/>
      <c r="AB72" s="5"/>
      <c r="AC72" s="4"/>
      <c r="AD72" s="3"/>
      <c r="AE72" s="2"/>
      <c r="AF72" s="1"/>
      <c r="AG72" s="45"/>
      <c r="AH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</row>
    <row r="73" spans="1:66" customFormat="1" x14ac:dyDescent="0.4">
      <c r="A73" s="1"/>
      <c r="B73" s="2"/>
      <c r="C73" s="3"/>
      <c r="D73" s="4"/>
      <c r="E73" s="5"/>
      <c r="F73" s="1"/>
      <c r="H73" s="63" t="s">
        <v>370</v>
      </c>
      <c r="I73" s="43">
        <v>61</v>
      </c>
      <c r="J73" s="43" t="s">
        <v>73</v>
      </c>
      <c r="K73" s="53">
        <f t="shared" si="0"/>
        <v>61</v>
      </c>
      <c r="L73" s="57">
        <f t="shared" si="1"/>
        <v>61</v>
      </c>
      <c r="M73" s="54" t="str">
        <f>CHAR(Table35[[#This Row],[Decimal]])</f>
        <v>=</v>
      </c>
      <c r="N73" s="1"/>
      <c r="O73" s="48">
        <f t="shared" si="2"/>
        <v>62</v>
      </c>
      <c r="P73" s="48" t="str" cm="1">
        <f t="array" ref="P73">CHAR(ROW(62:62))</f>
        <v>&gt;</v>
      </c>
      <c r="R73" s="21">
        <v>62</v>
      </c>
      <c r="S73" s="59">
        <v>96</v>
      </c>
      <c r="T73" s="48" t="str">
        <v>`</v>
      </c>
      <c r="V73" s="1"/>
      <c r="W73" s="1"/>
      <c r="X73" s="1"/>
      <c r="Y73" s="1"/>
      <c r="Z73" s="1"/>
      <c r="AA73" s="1"/>
      <c r="AB73" s="5"/>
      <c r="AC73" s="4"/>
      <c r="AD73" s="3"/>
      <c r="AE73" s="2"/>
      <c r="AF73" s="1"/>
      <c r="AG73" s="45"/>
      <c r="AH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</row>
    <row r="74" spans="1:66" customFormat="1" x14ac:dyDescent="0.4">
      <c r="A74" s="1"/>
      <c r="B74" s="2"/>
      <c r="C74" s="3"/>
      <c r="D74" s="4"/>
      <c r="E74" s="5"/>
      <c r="F74" s="1"/>
      <c r="H74" s="63" t="s">
        <v>371</v>
      </c>
      <c r="I74" s="43">
        <v>62</v>
      </c>
      <c r="J74" s="43" t="s">
        <v>74</v>
      </c>
      <c r="K74" s="53">
        <f t="shared" si="0"/>
        <v>62</v>
      </c>
      <c r="L74" s="57">
        <f t="shared" si="1"/>
        <v>62</v>
      </c>
      <c r="M74" s="54" t="str">
        <f>CHAR(Table35[[#This Row],[Decimal]])</f>
        <v>&gt;</v>
      </c>
      <c r="N74" s="1"/>
      <c r="O74" s="48">
        <f t="shared" si="2"/>
        <v>63</v>
      </c>
      <c r="P74" s="48" t="str" cm="1">
        <f t="array" ref="P74">CHAR(ROW(63:63))</f>
        <v>?</v>
      </c>
      <c r="R74" s="21">
        <v>63</v>
      </c>
      <c r="S74" s="59">
        <v>123</v>
      </c>
      <c r="T74" s="48" t="str">
        <v>{</v>
      </c>
      <c r="V74" s="1"/>
      <c r="W74" s="1"/>
      <c r="X74" s="1"/>
      <c r="Y74" s="1"/>
      <c r="Z74" s="1"/>
      <c r="AA74" s="1"/>
      <c r="AB74" s="5"/>
      <c r="AC74" s="4"/>
      <c r="AD74" s="3"/>
      <c r="AE74" s="2"/>
      <c r="AF74" s="1"/>
      <c r="AG74" s="45"/>
      <c r="AH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</row>
    <row r="75" spans="1:66" customFormat="1" x14ac:dyDescent="0.4">
      <c r="A75" s="1"/>
      <c r="B75" s="2"/>
      <c r="C75" s="3"/>
      <c r="D75" s="4"/>
      <c r="E75" s="5"/>
      <c r="F75" s="1"/>
      <c r="H75" s="63" t="s">
        <v>372</v>
      </c>
      <c r="I75" s="43">
        <v>63</v>
      </c>
      <c r="J75" s="43" t="s">
        <v>75</v>
      </c>
      <c r="K75" s="53">
        <f t="shared" si="0"/>
        <v>63</v>
      </c>
      <c r="L75" s="57">
        <f t="shared" si="1"/>
        <v>63</v>
      </c>
      <c r="M75" s="54" t="str">
        <f>CHAR(Table35[[#This Row],[Decimal]])</f>
        <v>?</v>
      </c>
      <c r="N75" s="1"/>
      <c r="O75" s="48">
        <f t="shared" si="2"/>
        <v>64</v>
      </c>
      <c r="P75" s="48" t="str" cm="1">
        <f t="array" ref="P75">CHAR(ROW(64:64))</f>
        <v>@</v>
      </c>
      <c r="R75" s="21">
        <v>64</v>
      </c>
      <c r="S75" s="59">
        <v>124</v>
      </c>
      <c r="T75" s="48" t="str">
        <v>|</v>
      </c>
      <c r="V75" s="1"/>
      <c r="W75" s="1"/>
      <c r="X75" s="1"/>
      <c r="Y75" s="1"/>
      <c r="Z75" s="1"/>
      <c r="AA75" s="1"/>
      <c r="AB75" s="5"/>
      <c r="AC75" s="4"/>
      <c r="AD75" s="3"/>
      <c r="AE75" s="2"/>
      <c r="AF75" s="1"/>
      <c r="AG75" s="45"/>
      <c r="AH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</row>
    <row r="76" spans="1:66" customFormat="1" x14ac:dyDescent="0.4">
      <c r="A76" s="1"/>
      <c r="B76" s="2"/>
      <c r="C76" s="3"/>
      <c r="D76" s="4"/>
      <c r="E76" s="5"/>
      <c r="F76" s="1"/>
      <c r="H76" s="63" t="s">
        <v>373</v>
      </c>
      <c r="I76" s="43">
        <v>64</v>
      </c>
      <c r="J76" s="43" t="s">
        <v>76</v>
      </c>
      <c r="K76" s="53">
        <f t="shared" ref="K76:K139" si="4">CODE(J76)</f>
        <v>64</v>
      </c>
      <c r="L76" s="57">
        <f t="shared" ref="L76:L139" si="5">CODE(M76)</f>
        <v>64</v>
      </c>
      <c r="M76" s="54" t="str">
        <f>CHAR(Table35[[#This Row],[Decimal]])</f>
        <v>@</v>
      </c>
      <c r="N76" s="1"/>
      <c r="O76" s="48">
        <f t="shared" si="2"/>
        <v>65</v>
      </c>
      <c r="P76" s="48" t="str" cm="1">
        <f t="array" ref="P76">CHAR(ROW(65:65))</f>
        <v>A</v>
      </c>
      <c r="R76" s="21">
        <v>65</v>
      </c>
      <c r="S76" s="59">
        <v>125</v>
      </c>
      <c r="T76" s="48" t="str">
        <v>}</v>
      </c>
      <c r="V76" s="1"/>
      <c r="W76" s="1"/>
      <c r="X76" s="1"/>
      <c r="Y76" s="1"/>
      <c r="Z76" s="1"/>
      <c r="AA76" s="1"/>
      <c r="AB76" s="5"/>
      <c r="AC76" s="4"/>
      <c r="AD76" s="3"/>
      <c r="AE76" s="2"/>
      <c r="AF76" s="1"/>
      <c r="AG76" s="45"/>
      <c r="AH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</row>
    <row r="77" spans="1:66" customFormat="1" x14ac:dyDescent="0.4">
      <c r="A77" s="1"/>
      <c r="B77" s="2"/>
      <c r="C77" s="3"/>
      <c r="D77" s="4"/>
      <c r="E77" s="5"/>
      <c r="F77" s="1"/>
      <c r="H77" s="63" t="s">
        <v>374</v>
      </c>
      <c r="I77" s="43">
        <v>65</v>
      </c>
      <c r="J77" s="43" t="s">
        <v>5</v>
      </c>
      <c r="K77" s="53">
        <f t="shared" si="4"/>
        <v>65</v>
      </c>
      <c r="L77" s="57">
        <f t="shared" si="5"/>
        <v>65</v>
      </c>
      <c r="M77" s="54" t="str">
        <f>CHAR(Table35[[#This Row],[Decimal]])</f>
        <v>A</v>
      </c>
      <c r="N77" s="1"/>
      <c r="O77" s="48">
        <f t="shared" ref="O77:O140" si="6">CODE(P77)</f>
        <v>66</v>
      </c>
      <c r="P77" s="48" t="str" cm="1">
        <f t="array" ref="P77">CHAR(ROW(66:66))</f>
        <v>B</v>
      </c>
      <c r="R77" s="21">
        <v>66</v>
      </c>
      <c r="S77" s="59">
        <v>126</v>
      </c>
      <c r="T77" s="48" t="str">
        <v>~</v>
      </c>
      <c r="V77" s="1"/>
      <c r="W77" s="1"/>
      <c r="X77" s="1"/>
      <c r="Y77" s="1"/>
      <c r="Z77" s="1"/>
      <c r="AA77" s="1"/>
      <c r="AB77" s="5"/>
      <c r="AC77" s="4"/>
      <c r="AD77" s="3"/>
      <c r="AE77" s="2"/>
      <c r="AF77" s="1"/>
      <c r="AG77" s="45"/>
      <c r="AH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</row>
    <row r="78" spans="1:66" customFormat="1" x14ac:dyDescent="0.4">
      <c r="A78" s="1"/>
      <c r="B78" s="2"/>
      <c r="C78" s="3"/>
      <c r="D78" s="4"/>
      <c r="E78" s="5"/>
      <c r="F78" s="1"/>
      <c r="H78" s="63" t="s">
        <v>375</v>
      </c>
      <c r="I78" s="43">
        <v>66</v>
      </c>
      <c r="J78" s="43" t="s">
        <v>10</v>
      </c>
      <c r="K78" s="53">
        <f t="shared" si="4"/>
        <v>66</v>
      </c>
      <c r="L78" s="57">
        <f t="shared" si="5"/>
        <v>66</v>
      </c>
      <c r="M78" s="54" t="str">
        <f>CHAR(Table35[[#This Row],[Decimal]])</f>
        <v>B</v>
      </c>
      <c r="N78" s="1"/>
      <c r="O78" s="48">
        <f t="shared" si="6"/>
        <v>67</v>
      </c>
      <c r="P78" s="48" t="str" cm="1">
        <f t="array" ref="P78">CHAR(ROW(67:67))</f>
        <v>C</v>
      </c>
      <c r="R78" s="21">
        <v>67</v>
      </c>
      <c r="S78" s="59">
        <v>161</v>
      </c>
      <c r="T78" s="48" t="str">
        <v>¡</v>
      </c>
      <c r="V78" s="1"/>
      <c r="W78" s="1"/>
      <c r="X78" s="1"/>
      <c r="Y78" s="1"/>
      <c r="Z78" s="1"/>
      <c r="AA78" s="1"/>
      <c r="AB78" s="5"/>
      <c r="AC78" s="4"/>
      <c r="AD78" s="3"/>
      <c r="AE78" s="2"/>
      <c r="AF78" s="1"/>
      <c r="AG78" s="45"/>
      <c r="AH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</row>
    <row r="79" spans="1:66" customFormat="1" x14ac:dyDescent="0.4">
      <c r="A79" s="1"/>
      <c r="B79" s="2"/>
      <c r="C79" s="3"/>
      <c r="D79" s="4"/>
      <c r="E79" s="5"/>
      <c r="F79" s="1"/>
      <c r="H79" s="63" t="s">
        <v>376</v>
      </c>
      <c r="I79" s="43">
        <v>67</v>
      </c>
      <c r="J79" s="43" t="s">
        <v>11</v>
      </c>
      <c r="K79" s="53">
        <f t="shared" si="4"/>
        <v>67</v>
      </c>
      <c r="L79" s="57">
        <f t="shared" si="5"/>
        <v>67</v>
      </c>
      <c r="M79" s="54" t="str">
        <f>CHAR(Table35[[#This Row],[Decimal]])</f>
        <v>C</v>
      </c>
      <c r="N79" s="1"/>
      <c r="O79" s="48">
        <f t="shared" si="6"/>
        <v>68</v>
      </c>
      <c r="P79" s="48" t="str" cm="1">
        <f t="array" ref="P79">CHAR(ROW(68:68))</f>
        <v>D</v>
      </c>
      <c r="R79" s="21">
        <v>68</v>
      </c>
      <c r="S79" s="59">
        <v>166</v>
      </c>
      <c r="T79" s="48" t="str">
        <v>¦</v>
      </c>
      <c r="V79" s="1"/>
      <c r="W79" s="1"/>
      <c r="X79" s="1"/>
      <c r="Y79" s="1"/>
      <c r="Z79" s="1"/>
      <c r="AA79" s="1"/>
      <c r="AB79" s="5"/>
      <c r="AC79" s="4"/>
      <c r="AD79" s="3"/>
      <c r="AE79" s="2"/>
      <c r="AF79" s="1"/>
      <c r="AG79" s="45"/>
      <c r="AH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</row>
    <row r="80" spans="1:66" customFormat="1" x14ac:dyDescent="0.4">
      <c r="A80" s="1"/>
      <c r="B80" s="2"/>
      <c r="C80" s="3"/>
      <c r="D80" s="4"/>
      <c r="E80" s="5"/>
      <c r="F80" s="1"/>
      <c r="H80" s="63" t="s">
        <v>377</v>
      </c>
      <c r="I80" s="43">
        <v>68</v>
      </c>
      <c r="J80" s="43" t="s">
        <v>12</v>
      </c>
      <c r="K80" s="53">
        <f t="shared" si="4"/>
        <v>68</v>
      </c>
      <c r="L80" s="57">
        <f t="shared" si="5"/>
        <v>68</v>
      </c>
      <c r="M80" s="54" t="str">
        <f>CHAR(Table35[[#This Row],[Decimal]])</f>
        <v>D</v>
      </c>
      <c r="N80" s="1"/>
      <c r="O80" s="48">
        <f t="shared" si="6"/>
        <v>69</v>
      </c>
      <c r="P80" s="48" t="str" cm="1">
        <f t="array" ref="P80">CHAR(ROW(69:69))</f>
        <v>E</v>
      </c>
      <c r="R80" s="21">
        <v>69</v>
      </c>
      <c r="S80" s="59">
        <v>168</v>
      </c>
      <c r="T80" s="48" t="str">
        <v>¨</v>
      </c>
      <c r="V80" s="1"/>
      <c r="W80" s="1"/>
      <c r="X80" s="1"/>
      <c r="Y80" s="1"/>
      <c r="Z80" s="1"/>
      <c r="AA80" s="1"/>
      <c r="AB80" s="5"/>
      <c r="AC80" s="4"/>
      <c r="AD80" s="3"/>
      <c r="AE80" s="2"/>
      <c r="AF80" s="1"/>
      <c r="AG80" s="45"/>
      <c r="AH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</row>
    <row r="81" spans="1:66" customFormat="1" x14ac:dyDescent="0.4">
      <c r="A81" s="1"/>
      <c r="B81" s="2"/>
      <c r="C81" s="3"/>
      <c r="D81" s="4"/>
      <c r="E81" s="5"/>
      <c r="F81" s="1"/>
      <c r="H81" s="63" t="s">
        <v>378</v>
      </c>
      <c r="I81" s="43">
        <v>69</v>
      </c>
      <c r="J81" s="43" t="s">
        <v>13</v>
      </c>
      <c r="K81" s="53">
        <f t="shared" si="4"/>
        <v>69</v>
      </c>
      <c r="L81" s="57">
        <f t="shared" si="5"/>
        <v>69</v>
      </c>
      <c r="M81" s="54" t="str">
        <f>CHAR(Table35[[#This Row],[Decimal]])</f>
        <v>E</v>
      </c>
      <c r="N81" s="1"/>
      <c r="O81" s="48">
        <f t="shared" si="6"/>
        <v>70</v>
      </c>
      <c r="P81" s="48" t="str" cm="1">
        <f t="array" ref="P81">CHAR(ROW(70:70))</f>
        <v>F</v>
      </c>
      <c r="R81" s="21">
        <v>70</v>
      </c>
      <c r="S81" s="59">
        <v>175</v>
      </c>
      <c r="T81" s="48" t="str">
        <v>¯</v>
      </c>
      <c r="V81" s="1"/>
      <c r="W81" s="1"/>
      <c r="X81" s="1"/>
      <c r="Y81" s="1"/>
      <c r="Z81" s="1"/>
      <c r="AA81" s="1"/>
      <c r="AB81" s="5"/>
      <c r="AC81" s="4"/>
      <c r="AD81" s="3"/>
      <c r="AE81" s="2"/>
      <c r="AF81" s="1"/>
      <c r="AG81" s="45"/>
      <c r="AH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</row>
    <row r="82" spans="1:66" customFormat="1" x14ac:dyDescent="0.4">
      <c r="A82" s="1"/>
      <c r="B82" s="2"/>
      <c r="C82" s="3"/>
      <c r="D82" s="4"/>
      <c r="E82" s="5"/>
      <c r="F82" s="1"/>
      <c r="H82" s="63" t="s">
        <v>379</v>
      </c>
      <c r="I82" s="43">
        <v>70</v>
      </c>
      <c r="J82" s="43" t="s">
        <v>14</v>
      </c>
      <c r="K82" s="53">
        <f t="shared" si="4"/>
        <v>70</v>
      </c>
      <c r="L82" s="57">
        <f t="shared" si="5"/>
        <v>70</v>
      </c>
      <c r="M82" s="54" t="str">
        <f>CHAR(Table35[[#This Row],[Decimal]])</f>
        <v>F</v>
      </c>
      <c r="N82" s="1"/>
      <c r="O82" s="48">
        <f t="shared" si="6"/>
        <v>71</v>
      </c>
      <c r="P82" s="48" t="str" cm="1">
        <f t="array" ref="P82">CHAR(ROW(71:71))</f>
        <v>G</v>
      </c>
      <c r="R82" s="21">
        <v>71</v>
      </c>
      <c r="S82" s="59">
        <v>180</v>
      </c>
      <c r="T82" s="48" t="str">
        <v>´</v>
      </c>
      <c r="V82" s="1"/>
      <c r="W82" s="1"/>
      <c r="X82" s="1"/>
      <c r="Y82" s="1"/>
      <c r="Z82" s="1"/>
      <c r="AA82" s="1"/>
      <c r="AB82" s="5"/>
      <c r="AC82" s="4"/>
      <c r="AD82" s="3"/>
      <c r="AE82" s="2"/>
      <c r="AF82" s="1"/>
      <c r="AG82" s="45"/>
      <c r="AH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</row>
    <row r="83" spans="1:66" customFormat="1" x14ac:dyDescent="0.4">
      <c r="A83" s="1"/>
      <c r="B83" s="2"/>
      <c r="C83" s="3"/>
      <c r="D83" s="4"/>
      <c r="E83" s="5"/>
      <c r="F83" s="1"/>
      <c r="H83" s="63" t="s">
        <v>380</v>
      </c>
      <c r="I83" s="43">
        <v>71</v>
      </c>
      <c r="J83" s="43" t="s">
        <v>15</v>
      </c>
      <c r="K83" s="53">
        <f t="shared" si="4"/>
        <v>71</v>
      </c>
      <c r="L83" s="57">
        <f t="shared" si="5"/>
        <v>71</v>
      </c>
      <c r="M83" s="54" t="str">
        <f>CHAR(Table35[[#This Row],[Decimal]])</f>
        <v>G</v>
      </c>
      <c r="N83" s="1"/>
      <c r="O83" s="48">
        <f t="shared" si="6"/>
        <v>72</v>
      </c>
      <c r="P83" s="48" t="str" cm="1">
        <f t="array" ref="P83">CHAR(ROW(72:72))</f>
        <v>H</v>
      </c>
      <c r="R83" s="21">
        <v>72</v>
      </c>
      <c r="S83" s="59">
        <v>184</v>
      </c>
      <c r="T83" s="48" t="str">
        <v>¸</v>
      </c>
      <c r="V83" s="1"/>
      <c r="W83" s="1"/>
      <c r="X83" s="1"/>
      <c r="Y83" s="1"/>
      <c r="Z83" s="1"/>
      <c r="AA83" s="1"/>
      <c r="AB83" s="5"/>
      <c r="AC83" s="4"/>
      <c r="AD83" s="3"/>
      <c r="AE83" s="2"/>
      <c r="AF83" s="1"/>
      <c r="AG83" s="45"/>
      <c r="AH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</row>
    <row r="84" spans="1:66" customFormat="1" x14ac:dyDescent="0.4">
      <c r="A84" s="1"/>
      <c r="B84" s="2"/>
      <c r="C84" s="3"/>
      <c r="D84" s="4"/>
      <c r="E84" s="5"/>
      <c r="F84" s="1"/>
      <c r="H84" s="63" t="s">
        <v>381</v>
      </c>
      <c r="I84" s="43">
        <v>72</v>
      </c>
      <c r="J84" s="43" t="s">
        <v>77</v>
      </c>
      <c r="K84" s="53">
        <f t="shared" si="4"/>
        <v>72</v>
      </c>
      <c r="L84" s="57">
        <f t="shared" si="5"/>
        <v>72</v>
      </c>
      <c r="M84" s="54" t="str">
        <f>CHAR(Table35[[#This Row],[Decimal]])</f>
        <v>H</v>
      </c>
      <c r="N84" s="1"/>
      <c r="O84" s="48">
        <f t="shared" si="6"/>
        <v>73</v>
      </c>
      <c r="P84" s="48" t="str" cm="1">
        <f t="array" ref="P84">CHAR(ROW(73:73))</f>
        <v>I</v>
      </c>
      <c r="R84" s="21">
        <v>73</v>
      </c>
      <c r="S84" s="59">
        <v>191</v>
      </c>
      <c r="T84" s="48" t="str">
        <v>¿</v>
      </c>
      <c r="V84" s="1"/>
      <c r="W84" s="1"/>
      <c r="X84" s="1"/>
      <c r="Y84" s="1"/>
      <c r="Z84" s="1"/>
      <c r="AA84" s="1"/>
      <c r="AB84" s="5"/>
      <c r="AC84" s="4"/>
      <c r="AD84" s="3"/>
      <c r="AE84" s="2"/>
      <c r="AF84" s="1"/>
      <c r="AG84" s="45"/>
      <c r="AH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</row>
    <row r="85" spans="1:66" customFormat="1" x14ac:dyDescent="0.4">
      <c r="A85" s="1"/>
      <c r="B85" s="2"/>
      <c r="C85" s="3"/>
      <c r="D85" s="4"/>
      <c r="E85" s="5"/>
      <c r="F85" s="1"/>
      <c r="H85" s="63" t="s">
        <v>382</v>
      </c>
      <c r="I85" s="43">
        <v>73</v>
      </c>
      <c r="J85" s="43" t="s">
        <v>78</v>
      </c>
      <c r="K85" s="53">
        <f t="shared" si="4"/>
        <v>73</v>
      </c>
      <c r="L85" s="57">
        <f t="shared" si="5"/>
        <v>73</v>
      </c>
      <c r="M85" s="54" t="str">
        <f>CHAR(Table35[[#This Row],[Decimal]])</f>
        <v>I</v>
      </c>
      <c r="N85" s="1"/>
      <c r="O85" s="48">
        <f t="shared" si="6"/>
        <v>74</v>
      </c>
      <c r="P85" s="48" t="str" cm="1">
        <f t="array" ref="P85">CHAR(ROW(74:74))</f>
        <v>J</v>
      </c>
      <c r="R85" s="21">
        <v>74</v>
      </c>
      <c r="S85" s="59">
        <v>152</v>
      </c>
      <c r="T85" s="48" t="str">
        <v>˜</v>
      </c>
      <c r="V85" s="1"/>
      <c r="W85" s="1"/>
      <c r="X85" s="1"/>
      <c r="Y85" s="1"/>
      <c r="Z85" s="1"/>
      <c r="AA85" s="1"/>
      <c r="AB85" s="5"/>
      <c r="AC85" s="4"/>
      <c r="AD85" s="3"/>
      <c r="AE85" s="2"/>
      <c r="AF85" s="1"/>
      <c r="AG85" s="45"/>
      <c r="AH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</row>
    <row r="86" spans="1:66" customFormat="1" x14ac:dyDescent="0.4">
      <c r="A86" s="1"/>
      <c r="B86" s="2"/>
      <c r="C86" s="3"/>
      <c r="D86" s="4"/>
      <c r="E86" s="5"/>
      <c r="F86" s="1"/>
      <c r="H86" s="63" t="s">
        <v>383</v>
      </c>
      <c r="I86" s="43">
        <v>74</v>
      </c>
      <c r="J86" s="43" t="s">
        <v>79</v>
      </c>
      <c r="K86" s="53">
        <f t="shared" si="4"/>
        <v>74</v>
      </c>
      <c r="L86" s="57">
        <f t="shared" si="5"/>
        <v>74</v>
      </c>
      <c r="M86" s="54" t="str">
        <f>CHAR(Table35[[#This Row],[Decimal]])</f>
        <v>J</v>
      </c>
      <c r="N86" s="1"/>
      <c r="O86" s="48">
        <f t="shared" si="6"/>
        <v>75</v>
      </c>
      <c r="P86" s="48" t="str" cm="1">
        <f t="array" ref="P86">CHAR(ROW(75:75))</f>
        <v>K</v>
      </c>
      <c r="R86" s="21">
        <v>75</v>
      </c>
      <c r="S86" s="59">
        <v>145</v>
      </c>
      <c r="T86" s="48" t="str">
        <v>‘</v>
      </c>
      <c r="V86" s="1"/>
      <c r="W86" s="1"/>
      <c r="X86" s="1"/>
      <c r="Y86" s="1"/>
      <c r="Z86" s="1"/>
      <c r="AA86" s="1"/>
      <c r="AB86" s="5"/>
      <c r="AC86" s="4"/>
      <c r="AD86" s="3"/>
      <c r="AE86" s="2"/>
      <c r="AF86" s="1"/>
      <c r="AG86" s="45"/>
      <c r="AH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</row>
    <row r="87" spans="1:66" customFormat="1" x14ac:dyDescent="0.4">
      <c r="A87" s="1"/>
      <c r="B87" s="2"/>
      <c r="C87" s="3"/>
      <c r="D87" s="4"/>
      <c r="E87" s="5"/>
      <c r="F87" s="1"/>
      <c r="H87" s="63" t="s">
        <v>384</v>
      </c>
      <c r="I87" s="43">
        <v>75</v>
      </c>
      <c r="J87" s="43" t="s">
        <v>80</v>
      </c>
      <c r="K87" s="53">
        <f t="shared" si="4"/>
        <v>75</v>
      </c>
      <c r="L87" s="57">
        <f t="shared" si="5"/>
        <v>75</v>
      </c>
      <c r="M87" s="54" t="str">
        <f>CHAR(Table35[[#This Row],[Decimal]])</f>
        <v>K</v>
      </c>
      <c r="N87" s="1"/>
      <c r="O87" s="48">
        <f t="shared" si="6"/>
        <v>76</v>
      </c>
      <c r="P87" s="48" t="str" cm="1">
        <f t="array" ref="P87">CHAR(ROW(76:76))</f>
        <v>L</v>
      </c>
      <c r="R87" s="21">
        <v>76</v>
      </c>
      <c r="S87" s="59">
        <v>146</v>
      </c>
      <c r="T87" s="48" t="str">
        <v>’</v>
      </c>
      <c r="V87" s="1"/>
      <c r="W87" s="1"/>
      <c r="X87" s="1"/>
      <c r="Y87" s="1"/>
      <c r="Z87" s="1"/>
      <c r="AA87" s="1"/>
      <c r="AB87" s="5"/>
      <c r="AC87" s="4"/>
      <c r="AD87" s="3"/>
      <c r="AE87" s="2"/>
      <c r="AF87" s="1"/>
      <c r="AG87" s="45"/>
      <c r="AH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</row>
    <row r="88" spans="1:66" customFormat="1" x14ac:dyDescent="0.4">
      <c r="A88" s="1"/>
      <c r="B88" s="2"/>
      <c r="C88" s="3"/>
      <c r="D88" s="4"/>
      <c r="E88" s="5"/>
      <c r="F88" s="1"/>
      <c r="H88" s="63" t="s">
        <v>385</v>
      </c>
      <c r="I88" s="43">
        <v>76</v>
      </c>
      <c r="J88" s="43" t="s">
        <v>81</v>
      </c>
      <c r="K88" s="53">
        <f t="shared" si="4"/>
        <v>76</v>
      </c>
      <c r="L88" s="57">
        <f t="shared" si="5"/>
        <v>76</v>
      </c>
      <c r="M88" s="54" t="str">
        <f>CHAR(Table35[[#This Row],[Decimal]])</f>
        <v>L</v>
      </c>
      <c r="N88" s="1"/>
      <c r="O88" s="48">
        <f t="shared" si="6"/>
        <v>77</v>
      </c>
      <c r="P88" s="48" t="str" cm="1">
        <f t="array" ref="P88">CHAR(ROW(77:77))</f>
        <v>M</v>
      </c>
      <c r="R88" s="21">
        <v>77</v>
      </c>
      <c r="S88" s="59">
        <v>130</v>
      </c>
      <c r="T88" s="48" t="str">
        <v>‚</v>
      </c>
      <c r="V88" s="1"/>
      <c r="W88" s="1"/>
      <c r="X88" s="1"/>
      <c r="Y88" s="1"/>
      <c r="Z88" s="1"/>
      <c r="AA88" s="1"/>
      <c r="AB88" s="5"/>
      <c r="AC88" s="4"/>
      <c r="AD88" s="3"/>
      <c r="AE88" s="2"/>
      <c r="AF88" s="1"/>
      <c r="AG88" s="45"/>
      <c r="AH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</row>
    <row r="89" spans="1:66" customFormat="1" x14ac:dyDescent="0.4">
      <c r="A89" s="1"/>
      <c r="B89" s="2"/>
      <c r="C89" s="3"/>
      <c r="D89" s="4"/>
      <c r="E89" s="5"/>
      <c r="F89" s="1"/>
      <c r="H89" s="63" t="s">
        <v>386</v>
      </c>
      <c r="I89" s="43">
        <v>77</v>
      </c>
      <c r="J89" s="43" t="s">
        <v>82</v>
      </c>
      <c r="K89" s="53">
        <f t="shared" si="4"/>
        <v>77</v>
      </c>
      <c r="L89" s="57">
        <f t="shared" si="5"/>
        <v>77</v>
      </c>
      <c r="M89" s="54" t="str">
        <f>CHAR(Table35[[#This Row],[Decimal]])</f>
        <v>M</v>
      </c>
      <c r="N89" s="1"/>
      <c r="O89" s="48">
        <f t="shared" si="6"/>
        <v>78</v>
      </c>
      <c r="P89" s="48" t="str" cm="1">
        <f t="array" ref="P89">CHAR(ROW(78:78))</f>
        <v>N</v>
      </c>
      <c r="R89" s="21">
        <v>78</v>
      </c>
      <c r="S89" s="59">
        <v>147</v>
      </c>
      <c r="T89" s="48" t="str">
        <v>“</v>
      </c>
      <c r="V89" s="1"/>
      <c r="W89" s="1"/>
      <c r="X89" s="1"/>
      <c r="Y89" s="1"/>
      <c r="Z89" s="1"/>
      <c r="AA89" s="1"/>
      <c r="AB89" s="5"/>
      <c r="AC89" s="4"/>
      <c r="AD89" s="3"/>
      <c r="AE89" s="2"/>
      <c r="AF89" s="1"/>
      <c r="AG89" s="45"/>
      <c r="AH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</row>
    <row r="90" spans="1:66" customFormat="1" x14ac:dyDescent="0.4">
      <c r="A90" s="1"/>
      <c r="B90" s="2"/>
      <c r="C90" s="3"/>
      <c r="D90" s="4"/>
      <c r="E90" s="5"/>
      <c r="F90" s="1"/>
      <c r="H90" s="63" t="s">
        <v>387</v>
      </c>
      <c r="I90" s="43">
        <v>78</v>
      </c>
      <c r="J90" s="43" t="s">
        <v>83</v>
      </c>
      <c r="K90" s="53">
        <f t="shared" si="4"/>
        <v>78</v>
      </c>
      <c r="L90" s="57">
        <f t="shared" si="5"/>
        <v>78</v>
      </c>
      <c r="M90" s="54" t="str">
        <f>CHAR(Table35[[#This Row],[Decimal]])</f>
        <v>N</v>
      </c>
      <c r="N90" s="1"/>
      <c r="O90" s="48">
        <f t="shared" si="6"/>
        <v>79</v>
      </c>
      <c r="P90" s="48" t="str" cm="1">
        <f t="array" ref="P90">CHAR(ROW(79:79))</f>
        <v>O</v>
      </c>
      <c r="R90" s="21">
        <v>79</v>
      </c>
      <c r="S90" s="59">
        <v>148</v>
      </c>
      <c r="T90" s="48" t="str">
        <v>”</v>
      </c>
      <c r="V90" s="1"/>
      <c r="W90" s="1"/>
      <c r="X90" s="1"/>
      <c r="Y90" s="1"/>
      <c r="Z90" s="1"/>
      <c r="AA90" s="1"/>
      <c r="AB90" s="5"/>
      <c r="AC90" s="4"/>
      <c r="AD90" s="3"/>
      <c r="AE90" s="2"/>
      <c r="AF90" s="1"/>
      <c r="AG90" s="45"/>
      <c r="AH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</row>
    <row r="91" spans="1:66" customFormat="1" x14ac:dyDescent="0.4">
      <c r="A91" s="1"/>
      <c r="B91" s="2"/>
      <c r="C91" s="3"/>
      <c r="D91" s="4"/>
      <c r="E91" s="5"/>
      <c r="F91" s="1"/>
      <c r="H91" s="63" t="s">
        <v>388</v>
      </c>
      <c r="I91" s="43">
        <v>79</v>
      </c>
      <c r="J91" s="43" t="s">
        <v>84</v>
      </c>
      <c r="K91" s="53">
        <f t="shared" si="4"/>
        <v>79</v>
      </c>
      <c r="L91" s="57">
        <f t="shared" si="5"/>
        <v>79</v>
      </c>
      <c r="M91" s="54" t="str">
        <f>CHAR(Table35[[#This Row],[Decimal]])</f>
        <v>O</v>
      </c>
      <c r="N91" s="1"/>
      <c r="O91" s="48">
        <f t="shared" si="6"/>
        <v>80</v>
      </c>
      <c r="P91" s="48" t="str" cm="1">
        <f t="array" ref="P91">CHAR(ROW(80:80))</f>
        <v>P</v>
      </c>
      <c r="R91" s="21">
        <v>80</v>
      </c>
      <c r="S91" s="59">
        <v>132</v>
      </c>
      <c r="T91" s="48" t="str">
        <v>„</v>
      </c>
      <c r="V91" s="1"/>
      <c r="W91" s="1"/>
      <c r="X91" s="1"/>
      <c r="Y91" s="1"/>
      <c r="Z91" s="1"/>
      <c r="AA91" s="1"/>
      <c r="AB91" s="5"/>
      <c r="AC91" s="4"/>
      <c r="AD91" s="3"/>
      <c r="AE91" s="2"/>
      <c r="AF91" s="1"/>
      <c r="AG91" s="45"/>
      <c r="AH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</row>
    <row r="92" spans="1:66" customFormat="1" x14ac:dyDescent="0.4">
      <c r="A92" s="1"/>
      <c r="B92" s="2"/>
      <c r="C92" s="3"/>
      <c r="D92" s="4"/>
      <c r="E92" s="5"/>
      <c r="F92" s="1"/>
      <c r="H92" s="63" t="s">
        <v>389</v>
      </c>
      <c r="I92" s="43">
        <v>80</v>
      </c>
      <c r="J92" s="43" t="s">
        <v>85</v>
      </c>
      <c r="K92" s="53">
        <f t="shared" si="4"/>
        <v>80</v>
      </c>
      <c r="L92" s="57">
        <f t="shared" si="5"/>
        <v>80</v>
      </c>
      <c r="M92" s="54" t="str">
        <f>CHAR(Table35[[#This Row],[Decimal]])</f>
        <v>P</v>
      </c>
      <c r="N92" s="1"/>
      <c r="O92" s="48">
        <f t="shared" si="6"/>
        <v>81</v>
      </c>
      <c r="P92" s="48" t="str" cm="1">
        <f t="array" ref="P92">CHAR(ROW(81:81))</f>
        <v>Q</v>
      </c>
      <c r="R92" s="21">
        <v>81</v>
      </c>
      <c r="S92" s="59">
        <v>139</v>
      </c>
      <c r="T92" s="48" t="str">
        <v>‹</v>
      </c>
      <c r="V92" s="1"/>
      <c r="W92" s="1"/>
      <c r="X92" s="1"/>
      <c r="Y92" s="1"/>
      <c r="Z92" s="1"/>
      <c r="AA92" s="1"/>
      <c r="AB92" s="5"/>
      <c r="AC92" s="4"/>
      <c r="AD92" s="3"/>
      <c r="AE92" s="2"/>
      <c r="AF92" s="1"/>
      <c r="AG92" s="45"/>
      <c r="AH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</row>
    <row r="93" spans="1:66" customFormat="1" x14ac:dyDescent="0.4">
      <c r="A93" s="1"/>
      <c r="B93" s="2"/>
      <c r="C93" s="3"/>
      <c r="D93" s="4"/>
      <c r="E93" s="5"/>
      <c r="F93" s="1"/>
      <c r="H93" s="63" t="s">
        <v>390</v>
      </c>
      <c r="I93" s="43">
        <v>81</v>
      </c>
      <c r="J93" s="43" t="s">
        <v>86</v>
      </c>
      <c r="K93" s="53">
        <f t="shared" si="4"/>
        <v>81</v>
      </c>
      <c r="L93" s="57">
        <f t="shared" si="5"/>
        <v>81</v>
      </c>
      <c r="M93" s="54" t="str">
        <f>CHAR(Table35[[#This Row],[Decimal]])</f>
        <v>Q</v>
      </c>
      <c r="N93" s="1"/>
      <c r="O93" s="48">
        <f t="shared" si="6"/>
        <v>82</v>
      </c>
      <c r="P93" s="48" t="str" cm="1">
        <f t="array" ref="P93">CHAR(ROW(82:82))</f>
        <v>R</v>
      </c>
      <c r="R93" s="21">
        <v>82</v>
      </c>
      <c r="S93" s="59">
        <v>155</v>
      </c>
      <c r="T93" s="48" t="str">
        <v>›</v>
      </c>
      <c r="V93" s="1"/>
      <c r="W93" s="1"/>
      <c r="X93" s="1"/>
      <c r="Y93" s="1"/>
      <c r="Z93" s="1"/>
      <c r="AA93" s="1"/>
      <c r="AB93" s="5"/>
      <c r="AC93" s="4"/>
      <c r="AD93" s="3"/>
      <c r="AE93" s="2"/>
      <c r="AF93" s="1"/>
      <c r="AG93" s="45"/>
      <c r="AH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</row>
    <row r="94" spans="1:66" customFormat="1" x14ac:dyDescent="0.4">
      <c r="A94" s="1"/>
      <c r="B94" s="2"/>
      <c r="C94" s="3"/>
      <c r="D94" s="4"/>
      <c r="E94" s="5"/>
      <c r="F94" s="1"/>
      <c r="H94" s="63" t="s">
        <v>391</v>
      </c>
      <c r="I94" s="43">
        <v>82</v>
      </c>
      <c r="J94" s="43" t="s">
        <v>87</v>
      </c>
      <c r="K94" s="53">
        <f t="shared" si="4"/>
        <v>82</v>
      </c>
      <c r="L94" s="57">
        <f t="shared" si="5"/>
        <v>82</v>
      </c>
      <c r="M94" s="54" t="str">
        <f>CHAR(Table35[[#This Row],[Decimal]])</f>
        <v>R</v>
      </c>
      <c r="N94" s="1"/>
      <c r="O94" s="48">
        <f t="shared" si="6"/>
        <v>83</v>
      </c>
      <c r="P94" s="48" t="str" cm="1">
        <f t="array" ref="P94">CHAR(ROW(83:83))</f>
        <v>S</v>
      </c>
      <c r="R94" s="21">
        <v>83</v>
      </c>
      <c r="S94" s="59">
        <v>162</v>
      </c>
      <c r="T94" s="48" t="str">
        <v>¢</v>
      </c>
      <c r="V94" s="1"/>
      <c r="W94" s="1"/>
      <c r="X94" s="1"/>
      <c r="Y94" s="1"/>
      <c r="Z94" s="1"/>
      <c r="AA94" s="1"/>
      <c r="AB94" s="5"/>
      <c r="AC94" s="4"/>
      <c r="AD94" s="3"/>
      <c r="AE94" s="2"/>
      <c r="AF94" s="1"/>
      <c r="AG94" s="45"/>
      <c r="AH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</row>
    <row r="95" spans="1:66" customFormat="1" x14ac:dyDescent="0.4">
      <c r="A95" s="1"/>
      <c r="B95" s="2"/>
      <c r="C95" s="3"/>
      <c r="D95" s="4"/>
      <c r="E95" s="5"/>
      <c r="F95" s="1"/>
      <c r="H95" s="63" t="s">
        <v>392</v>
      </c>
      <c r="I95" s="43">
        <v>83</v>
      </c>
      <c r="J95" s="43" t="s">
        <v>88</v>
      </c>
      <c r="K95" s="53">
        <f t="shared" si="4"/>
        <v>83</v>
      </c>
      <c r="L95" s="57">
        <f t="shared" si="5"/>
        <v>83</v>
      </c>
      <c r="M95" s="54" t="str">
        <f>CHAR(Table35[[#This Row],[Decimal]])</f>
        <v>S</v>
      </c>
      <c r="N95" s="1"/>
      <c r="O95" s="48">
        <f t="shared" si="6"/>
        <v>84</v>
      </c>
      <c r="P95" s="48" t="str" cm="1">
        <f t="array" ref="P95">CHAR(ROW(84:84))</f>
        <v>T</v>
      </c>
      <c r="R95" s="21">
        <v>84</v>
      </c>
      <c r="S95" s="59">
        <v>163</v>
      </c>
      <c r="T95" s="48" t="str">
        <v>£</v>
      </c>
      <c r="V95" s="1"/>
      <c r="W95" s="1"/>
      <c r="X95" s="1"/>
      <c r="Y95" s="1"/>
      <c r="Z95" s="1"/>
      <c r="AA95" s="1"/>
      <c r="AB95" s="5"/>
      <c r="AC95" s="4"/>
      <c r="AD95" s="3"/>
      <c r="AE95" s="2"/>
      <c r="AF95" s="1"/>
      <c r="AG95" s="45"/>
      <c r="AH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</row>
    <row r="96" spans="1:66" customFormat="1" x14ac:dyDescent="0.4">
      <c r="A96" s="1"/>
      <c r="B96" s="2"/>
      <c r="C96" s="3"/>
      <c r="D96" s="4"/>
      <c r="E96" s="5"/>
      <c r="F96" s="1"/>
      <c r="H96" s="63" t="s">
        <v>393</v>
      </c>
      <c r="I96" s="43">
        <v>84</v>
      </c>
      <c r="J96" s="43" t="s">
        <v>89</v>
      </c>
      <c r="K96" s="53">
        <f t="shared" si="4"/>
        <v>84</v>
      </c>
      <c r="L96" s="57">
        <f t="shared" si="5"/>
        <v>84</v>
      </c>
      <c r="M96" s="54" t="str">
        <f>CHAR(Table35[[#This Row],[Decimal]])</f>
        <v>T</v>
      </c>
      <c r="N96" s="1"/>
      <c r="O96" s="48">
        <f t="shared" si="6"/>
        <v>85</v>
      </c>
      <c r="P96" s="48" t="str" cm="1">
        <f t="array" ref="P96">CHAR(ROW(85:85))</f>
        <v>U</v>
      </c>
      <c r="R96" s="21">
        <v>85</v>
      </c>
      <c r="S96" s="59">
        <v>164</v>
      </c>
      <c r="T96" s="48" t="str">
        <v>¤</v>
      </c>
      <c r="V96" s="1"/>
      <c r="W96" s="1"/>
      <c r="X96" s="1"/>
      <c r="Y96" s="1"/>
      <c r="Z96" s="1"/>
      <c r="AA96" s="1"/>
      <c r="AB96" s="5"/>
      <c r="AC96" s="4"/>
      <c r="AD96" s="3"/>
      <c r="AE96" s="2"/>
      <c r="AF96" s="1"/>
      <c r="AG96" s="45"/>
      <c r="AH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</row>
    <row r="97" spans="1:66" customFormat="1" x14ac:dyDescent="0.4">
      <c r="A97" s="1"/>
      <c r="B97" s="2"/>
      <c r="C97" s="3"/>
      <c r="D97" s="4"/>
      <c r="E97" s="5"/>
      <c r="F97" s="1"/>
      <c r="H97" s="63" t="s">
        <v>394</v>
      </c>
      <c r="I97" s="43">
        <v>85</v>
      </c>
      <c r="J97" s="43" t="s">
        <v>90</v>
      </c>
      <c r="K97" s="53">
        <f t="shared" si="4"/>
        <v>85</v>
      </c>
      <c r="L97" s="57">
        <f t="shared" si="5"/>
        <v>85</v>
      </c>
      <c r="M97" s="54" t="str">
        <f>CHAR(Table35[[#This Row],[Decimal]])</f>
        <v>U</v>
      </c>
      <c r="N97" s="1"/>
      <c r="O97" s="48">
        <f t="shared" si="6"/>
        <v>86</v>
      </c>
      <c r="P97" s="48" t="str" cm="1">
        <f t="array" ref="P97">CHAR(ROW(86:86))</f>
        <v>V</v>
      </c>
      <c r="R97" s="21">
        <v>86</v>
      </c>
      <c r="S97" s="59">
        <v>165</v>
      </c>
      <c r="T97" s="48" t="str">
        <v>¥</v>
      </c>
      <c r="V97" s="1"/>
      <c r="W97" s="1"/>
      <c r="X97" s="1"/>
      <c r="Y97" s="1"/>
      <c r="Z97" s="1"/>
      <c r="AA97" s="1"/>
      <c r="AB97" s="5"/>
      <c r="AC97" s="4"/>
      <c r="AD97" s="3"/>
      <c r="AE97" s="2"/>
      <c r="AF97" s="1"/>
      <c r="AG97" s="45"/>
      <c r="AH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</row>
    <row r="98" spans="1:66" customFormat="1" x14ac:dyDescent="0.4">
      <c r="A98" s="1"/>
      <c r="B98" s="2"/>
      <c r="C98" s="3"/>
      <c r="D98" s="4"/>
      <c r="E98" s="5"/>
      <c r="F98" s="1"/>
      <c r="H98" s="63" t="s">
        <v>395</v>
      </c>
      <c r="I98" s="43">
        <v>86</v>
      </c>
      <c r="J98" s="43" t="s">
        <v>91</v>
      </c>
      <c r="K98" s="53">
        <f t="shared" si="4"/>
        <v>86</v>
      </c>
      <c r="L98" s="57">
        <f t="shared" si="5"/>
        <v>86</v>
      </c>
      <c r="M98" s="54" t="str">
        <f>CHAR(Table35[[#This Row],[Decimal]])</f>
        <v>V</v>
      </c>
      <c r="N98" s="1"/>
      <c r="O98" s="48">
        <f t="shared" si="6"/>
        <v>87</v>
      </c>
      <c r="P98" s="48" t="str" cm="1">
        <f t="array" ref="P98">CHAR(ROW(87:87))</f>
        <v>W</v>
      </c>
      <c r="R98" s="21">
        <v>87</v>
      </c>
      <c r="S98" s="59">
        <v>128</v>
      </c>
      <c r="T98" s="48" t="str">
        <v>€</v>
      </c>
      <c r="V98" s="1"/>
      <c r="W98" s="1"/>
      <c r="X98" s="1"/>
      <c r="Y98" s="1"/>
      <c r="Z98" s="1"/>
      <c r="AA98" s="1"/>
      <c r="AB98" s="5"/>
      <c r="AC98" s="4"/>
      <c r="AD98" s="3"/>
      <c r="AE98" s="2"/>
      <c r="AF98" s="1"/>
      <c r="AG98" s="45"/>
      <c r="AH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</row>
    <row r="99" spans="1:66" customFormat="1" x14ac:dyDescent="0.4">
      <c r="A99" s="1"/>
      <c r="B99" s="2"/>
      <c r="C99" s="3"/>
      <c r="D99" s="4"/>
      <c r="E99" s="5"/>
      <c r="F99" s="1"/>
      <c r="H99" s="63" t="s">
        <v>396</v>
      </c>
      <c r="I99" s="43">
        <v>87</v>
      </c>
      <c r="J99" s="43" t="s">
        <v>92</v>
      </c>
      <c r="K99" s="53">
        <f t="shared" si="4"/>
        <v>87</v>
      </c>
      <c r="L99" s="57">
        <f t="shared" si="5"/>
        <v>87</v>
      </c>
      <c r="M99" s="54" t="str">
        <f>CHAR(Table35[[#This Row],[Decimal]])</f>
        <v>W</v>
      </c>
      <c r="N99" s="1"/>
      <c r="O99" s="48">
        <f t="shared" si="6"/>
        <v>88</v>
      </c>
      <c r="P99" s="48" t="str" cm="1">
        <f t="array" ref="P99">CHAR(ROW(88:88))</f>
        <v>X</v>
      </c>
      <c r="R99" s="21">
        <v>88</v>
      </c>
      <c r="S99" s="59">
        <v>43</v>
      </c>
      <c r="T99" s="48" t="str">
        <v>+</v>
      </c>
      <c r="V99" s="1"/>
      <c r="W99" s="1"/>
      <c r="X99" s="1"/>
      <c r="Y99" s="1"/>
      <c r="Z99" s="1"/>
      <c r="AA99" s="1"/>
      <c r="AB99" s="5"/>
      <c r="AC99" s="4"/>
      <c r="AD99" s="3"/>
      <c r="AE99" s="2"/>
      <c r="AF99" s="1"/>
      <c r="AG99" s="45"/>
      <c r="AH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</row>
    <row r="100" spans="1:66" customFormat="1" x14ac:dyDescent="0.4">
      <c r="A100" s="1"/>
      <c r="B100" s="2"/>
      <c r="C100" s="3"/>
      <c r="D100" s="4"/>
      <c r="E100" s="5"/>
      <c r="F100" s="1"/>
      <c r="H100" s="63" t="s">
        <v>397</v>
      </c>
      <c r="I100" s="43">
        <v>88</v>
      </c>
      <c r="J100" s="43" t="s">
        <v>93</v>
      </c>
      <c r="K100" s="53">
        <f t="shared" si="4"/>
        <v>88</v>
      </c>
      <c r="L100" s="57">
        <f t="shared" si="5"/>
        <v>88</v>
      </c>
      <c r="M100" s="54" t="str">
        <f>CHAR(Table35[[#This Row],[Decimal]])</f>
        <v>X</v>
      </c>
      <c r="N100" s="1"/>
      <c r="O100" s="48">
        <f t="shared" si="6"/>
        <v>89</v>
      </c>
      <c r="P100" s="48" t="str" cm="1">
        <f t="array" ref="P100">CHAR(ROW(89:89))</f>
        <v>Y</v>
      </c>
      <c r="R100" s="21">
        <v>89</v>
      </c>
      <c r="S100" s="59">
        <v>60</v>
      </c>
      <c r="T100" s="48" t="str">
        <v>&lt;</v>
      </c>
      <c r="V100" s="1"/>
      <c r="W100" s="1"/>
      <c r="X100" s="1"/>
      <c r="Y100" s="1"/>
      <c r="Z100" s="1"/>
      <c r="AA100" s="1"/>
      <c r="AB100" s="5"/>
      <c r="AC100" s="4"/>
      <c r="AD100" s="3"/>
      <c r="AE100" s="2"/>
      <c r="AF100" s="1"/>
      <c r="AG100" s="45"/>
      <c r="AH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</row>
    <row r="101" spans="1:66" customFormat="1" x14ac:dyDescent="0.4">
      <c r="A101" s="1"/>
      <c r="B101" s="2"/>
      <c r="C101" s="3"/>
      <c r="D101" s="4"/>
      <c r="E101" s="5"/>
      <c r="F101" s="1"/>
      <c r="H101" s="63" t="s">
        <v>398</v>
      </c>
      <c r="I101" s="43">
        <v>89</v>
      </c>
      <c r="J101" s="43" t="s">
        <v>94</v>
      </c>
      <c r="K101" s="53">
        <f t="shared" si="4"/>
        <v>89</v>
      </c>
      <c r="L101" s="57">
        <f t="shared" si="5"/>
        <v>89</v>
      </c>
      <c r="M101" s="54" t="str">
        <f>CHAR(Table35[[#This Row],[Decimal]])</f>
        <v>Y</v>
      </c>
      <c r="N101" s="1"/>
      <c r="O101" s="48">
        <f t="shared" si="6"/>
        <v>90</v>
      </c>
      <c r="P101" s="48" t="str" cm="1">
        <f t="array" ref="P101">CHAR(ROW(90:90))</f>
        <v>Z</v>
      </c>
      <c r="R101" s="21">
        <v>90</v>
      </c>
      <c r="S101" s="59">
        <v>61</v>
      </c>
      <c r="T101" s="48" t="str">
        <v>=</v>
      </c>
      <c r="V101" s="1"/>
      <c r="W101" s="1"/>
      <c r="X101" s="1"/>
      <c r="Y101" s="1"/>
      <c r="Z101" s="1"/>
      <c r="AA101" s="1"/>
      <c r="AB101" s="5"/>
      <c r="AC101" s="4"/>
      <c r="AD101" s="3"/>
      <c r="AE101" s="2"/>
      <c r="AF101" s="1"/>
      <c r="AG101" s="45"/>
      <c r="AH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</row>
    <row r="102" spans="1:66" customFormat="1" x14ac:dyDescent="0.4">
      <c r="A102" s="1"/>
      <c r="B102" s="2"/>
      <c r="C102" s="3"/>
      <c r="D102" s="4"/>
      <c r="E102" s="5"/>
      <c r="F102" s="1"/>
      <c r="H102" s="63" t="s">
        <v>399</v>
      </c>
      <c r="I102" s="43">
        <v>90</v>
      </c>
      <c r="J102" s="43" t="s">
        <v>95</v>
      </c>
      <c r="K102" s="53">
        <f t="shared" si="4"/>
        <v>90</v>
      </c>
      <c r="L102" s="57">
        <f t="shared" si="5"/>
        <v>90</v>
      </c>
      <c r="M102" s="54" t="str">
        <f>CHAR(Table35[[#This Row],[Decimal]])</f>
        <v>Z</v>
      </c>
      <c r="N102" s="1"/>
      <c r="O102" s="48">
        <f t="shared" si="6"/>
        <v>91</v>
      </c>
      <c r="P102" s="48" t="str" cm="1">
        <f t="array" ref="P102">CHAR(ROW(91:91))</f>
        <v>[</v>
      </c>
      <c r="R102" s="21">
        <v>91</v>
      </c>
      <c r="S102" s="59">
        <v>62</v>
      </c>
      <c r="T102" s="48" t="str">
        <v>&gt;</v>
      </c>
      <c r="V102" s="1"/>
      <c r="W102" s="1"/>
      <c r="X102" s="1"/>
      <c r="Y102" s="1"/>
      <c r="Z102" s="1"/>
      <c r="AA102" s="1"/>
      <c r="AB102" s="5"/>
      <c r="AC102" s="4"/>
      <c r="AD102" s="3"/>
      <c r="AE102" s="2"/>
      <c r="AF102" s="1"/>
      <c r="AG102" s="45"/>
      <c r="AH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</row>
    <row r="103" spans="1:66" customFormat="1" x14ac:dyDescent="0.4">
      <c r="A103" s="1"/>
      <c r="B103" s="2"/>
      <c r="C103" s="3"/>
      <c r="D103" s="4"/>
      <c r="E103" s="5"/>
      <c r="F103" s="1"/>
      <c r="H103" s="63" t="s">
        <v>400</v>
      </c>
      <c r="I103" s="43">
        <v>91</v>
      </c>
      <c r="J103" s="43" t="s">
        <v>96</v>
      </c>
      <c r="K103" s="53">
        <f t="shared" si="4"/>
        <v>91</v>
      </c>
      <c r="L103" s="57">
        <f t="shared" si="5"/>
        <v>91</v>
      </c>
      <c r="M103" s="54" t="str">
        <f>CHAR(Table35[[#This Row],[Decimal]])</f>
        <v>[</v>
      </c>
      <c r="N103" s="1"/>
      <c r="O103" s="48">
        <f t="shared" si="6"/>
        <v>92</v>
      </c>
      <c r="P103" s="48" t="str" cm="1">
        <f t="array" ref="P103">CHAR(ROW(92:92))</f>
        <v>\</v>
      </c>
      <c r="R103" s="21">
        <v>92</v>
      </c>
      <c r="S103" s="59">
        <v>177</v>
      </c>
      <c r="T103" s="48" t="str">
        <v>±</v>
      </c>
      <c r="V103" s="1"/>
      <c r="W103" s="1"/>
      <c r="X103" s="1"/>
      <c r="Y103" s="1"/>
      <c r="Z103" s="1"/>
      <c r="AA103" s="1"/>
      <c r="AB103" s="5"/>
      <c r="AC103" s="4"/>
      <c r="AD103" s="3"/>
      <c r="AE103" s="2"/>
      <c r="AF103" s="1"/>
      <c r="AG103" s="45"/>
      <c r="AH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</row>
    <row r="104" spans="1:66" customFormat="1" x14ac:dyDescent="0.4">
      <c r="A104" s="1"/>
      <c r="B104" s="2"/>
      <c r="C104" s="3"/>
      <c r="D104" s="4"/>
      <c r="E104" s="5"/>
      <c r="F104" s="1"/>
      <c r="H104" s="63" t="s">
        <v>401</v>
      </c>
      <c r="I104" s="43">
        <v>92</v>
      </c>
      <c r="J104" s="43" t="s">
        <v>97</v>
      </c>
      <c r="K104" s="53">
        <f t="shared" si="4"/>
        <v>92</v>
      </c>
      <c r="L104" s="57">
        <f t="shared" si="5"/>
        <v>92</v>
      </c>
      <c r="M104" s="54" t="str">
        <f>CHAR(Table35[[#This Row],[Decimal]])</f>
        <v>\</v>
      </c>
      <c r="N104" s="1"/>
      <c r="O104" s="48">
        <f t="shared" si="6"/>
        <v>93</v>
      </c>
      <c r="P104" s="48" t="str" cm="1">
        <f t="array" ref="P104">CHAR(ROW(93:93))</f>
        <v>]</v>
      </c>
      <c r="R104" s="21">
        <v>93</v>
      </c>
      <c r="S104" s="59">
        <v>171</v>
      </c>
      <c r="T104" s="48" t="str">
        <v>«</v>
      </c>
      <c r="V104" s="1"/>
      <c r="W104" s="1"/>
      <c r="X104" s="1"/>
      <c r="Y104" s="1"/>
      <c r="Z104" s="1"/>
      <c r="AA104" s="1"/>
      <c r="AB104" s="5"/>
      <c r="AC104" s="4"/>
      <c r="AD104" s="3"/>
      <c r="AE104" s="2"/>
      <c r="AF104" s="1"/>
      <c r="AG104" s="45"/>
      <c r="AH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</row>
    <row r="105" spans="1:66" customFormat="1" x14ac:dyDescent="0.4">
      <c r="A105" s="1"/>
      <c r="B105" s="2"/>
      <c r="C105" s="3"/>
      <c r="D105" s="4"/>
      <c r="E105" s="5"/>
      <c r="F105" s="1"/>
      <c r="H105" s="63" t="s">
        <v>402</v>
      </c>
      <c r="I105" s="43">
        <v>93</v>
      </c>
      <c r="J105" s="43" t="s">
        <v>98</v>
      </c>
      <c r="K105" s="53">
        <f t="shared" si="4"/>
        <v>93</v>
      </c>
      <c r="L105" s="57">
        <f t="shared" si="5"/>
        <v>93</v>
      </c>
      <c r="M105" s="54" t="str">
        <f>CHAR(Table35[[#This Row],[Decimal]])</f>
        <v>]</v>
      </c>
      <c r="N105" s="1"/>
      <c r="O105" s="48">
        <f t="shared" si="6"/>
        <v>94</v>
      </c>
      <c r="P105" s="48" t="str" cm="1">
        <f t="array" ref="P105">CHAR(ROW(94:94))</f>
        <v>^</v>
      </c>
      <c r="R105" s="21">
        <v>94</v>
      </c>
      <c r="S105" s="59">
        <v>187</v>
      </c>
      <c r="T105" s="48" t="str">
        <v>»</v>
      </c>
      <c r="V105" s="1"/>
      <c r="W105" s="1"/>
      <c r="X105" s="1"/>
      <c r="Y105" s="1"/>
      <c r="Z105" s="1"/>
      <c r="AA105" s="1"/>
      <c r="AB105" s="5"/>
      <c r="AC105" s="4"/>
      <c r="AD105" s="3"/>
      <c r="AE105" s="2"/>
      <c r="AF105" s="1"/>
      <c r="AG105" s="45"/>
      <c r="AH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</row>
    <row r="106" spans="1:66" customFormat="1" x14ac:dyDescent="0.4">
      <c r="A106" s="1"/>
      <c r="B106" s="2"/>
      <c r="C106" s="3"/>
      <c r="D106" s="4"/>
      <c r="E106" s="5"/>
      <c r="F106" s="1"/>
      <c r="H106" s="63" t="s">
        <v>403</v>
      </c>
      <c r="I106" s="43">
        <v>94</v>
      </c>
      <c r="J106" s="43" t="s">
        <v>99</v>
      </c>
      <c r="K106" s="53">
        <f t="shared" si="4"/>
        <v>94</v>
      </c>
      <c r="L106" s="57">
        <f t="shared" si="5"/>
        <v>94</v>
      </c>
      <c r="M106" s="54" t="str">
        <f>CHAR(Table35[[#This Row],[Decimal]])</f>
        <v>^</v>
      </c>
      <c r="N106" s="1"/>
      <c r="O106" s="48">
        <f t="shared" si="6"/>
        <v>95</v>
      </c>
      <c r="P106" s="48" t="str" cm="1">
        <f t="array" ref="P106">CHAR(ROW(95:95))</f>
        <v>_</v>
      </c>
      <c r="R106" s="21">
        <v>95</v>
      </c>
      <c r="S106" s="59">
        <v>215</v>
      </c>
      <c r="T106" s="48" t="str">
        <v>×</v>
      </c>
      <c r="V106" s="1"/>
      <c r="W106" s="1"/>
      <c r="X106" s="1"/>
      <c r="Y106" s="1"/>
      <c r="Z106" s="1"/>
      <c r="AA106" s="1"/>
      <c r="AB106" s="5"/>
      <c r="AC106" s="4"/>
      <c r="AD106" s="3"/>
      <c r="AE106" s="2"/>
      <c r="AF106" s="1"/>
      <c r="AG106" s="45"/>
      <c r="AH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</row>
    <row r="107" spans="1:66" customFormat="1" x14ac:dyDescent="0.4">
      <c r="A107" s="1"/>
      <c r="B107" s="2"/>
      <c r="C107" s="3"/>
      <c r="D107" s="4"/>
      <c r="E107" s="5"/>
      <c r="F107" s="1"/>
      <c r="H107" s="63" t="s">
        <v>404</v>
      </c>
      <c r="I107" s="43">
        <v>95</v>
      </c>
      <c r="J107" s="43" t="s">
        <v>100</v>
      </c>
      <c r="K107" s="53">
        <f t="shared" si="4"/>
        <v>95</v>
      </c>
      <c r="L107" s="57">
        <f t="shared" si="5"/>
        <v>95</v>
      </c>
      <c r="M107" s="54" t="str">
        <f>CHAR(Table35[[#This Row],[Decimal]])</f>
        <v>_</v>
      </c>
      <c r="N107" s="1"/>
      <c r="O107" s="48">
        <f t="shared" si="6"/>
        <v>96</v>
      </c>
      <c r="P107" s="48" t="str" cm="1">
        <f t="array" ref="P107">CHAR(ROW(96:96))</f>
        <v>`</v>
      </c>
      <c r="R107" s="21">
        <v>96</v>
      </c>
      <c r="S107" s="59">
        <v>247</v>
      </c>
      <c r="T107" s="48" t="str">
        <v>÷</v>
      </c>
      <c r="V107" s="1"/>
      <c r="W107" s="1"/>
      <c r="X107" s="1"/>
      <c r="Y107" s="1"/>
      <c r="Z107" s="1"/>
      <c r="AA107" s="1"/>
      <c r="AB107" s="5"/>
      <c r="AC107" s="4"/>
      <c r="AD107" s="3"/>
      <c r="AE107" s="2"/>
      <c r="AF107" s="1"/>
      <c r="AG107" s="45"/>
      <c r="AH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</row>
    <row r="108" spans="1:66" customFormat="1" x14ac:dyDescent="0.4">
      <c r="A108" s="1"/>
      <c r="B108" s="2"/>
      <c r="C108" s="3"/>
      <c r="D108" s="4"/>
      <c r="E108" s="5"/>
      <c r="F108" s="1"/>
      <c r="H108" s="63" t="s">
        <v>405</v>
      </c>
      <c r="I108" s="43">
        <v>96</v>
      </c>
      <c r="J108" s="43" t="s">
        <v>101</v>
      </c>
      <c r="K108" s="53">
        <f t="shared" si="4"/>
        <v>96</v>
      </c>
      <c r="L108" s="57">
        <f t="shared" si="5"/>
        <v>96</v>
      </c>
      <c r="M108" s="54" t="str">
        <f>CHAR(Table35[[#This Row],[Decimal]])</f>
        <v>`</v>
      </c>
      <c r="N108" s="1"/>
      <c r="O108" s="48">
        <f t="shared" si="6"/>
        <v>97</v>
      </c>
      <c r="P108" s="48" t="str" cm="1">
        <f t="array" ref="P108">CHAR(ROW(97:97))</f>
        <v>a</v>
      </c>
      <c r="R108" s="21">
        <v>97</v>
      </c>
      <c r="S108" s="59">
        <v>167</v>
      </c>
      <c r="T108" s="48" t="str">
        <v>§</v>
      </c>
      <c r="V108" s="1"/>
      <c r="W108" s="1"/>
      <c r="X108" s="1"/>
      <c r="Y108" s="1"/>
      <c r="Z108" s="1"/>
      <c r="AA108" s="1"/>
      <c r="AB108" s="5"/>
      <c r="AC108" s="4"/>
      <c r="AD108" s="3"/>
      <c r="AE108" s="2"/>
      <c r="AF108" s="1"/>
      <c r="AG108" s="45"/>
      <c r="AH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</row>
    <row r="109" spans="1:66" customFormat="1" x14ac:dyDescent="0.4">
      <c r="A109" s="1"/>
      <c r="B109" s="2"/>
      <c r="C109" s="3"/>
      <c r="D109" s="4"/>
      <c r="E109" s="5"/>
      <c r="F109" s="1"/>
      <c r="H109" s="63" t="s">
        <v>406</v>
      </c>
      <c r="I109" s="43">
        <v>97</v>
      </c>
      <c r="J109" s="43" t="s">
        <v>102</v>
      </c>
      <c r="K109" s="53">
        <f t="shared" si="4"/>
        <v>97</v>
      </c>
      <c r="L109" s="57">
        <f t="shared" si="5"/>
        <v>97</v>
      </c>
      <c r="M109" s="54" t="str">
        <f>CHAR(Table35[[#This Row],[Decimal]])</f>
        <v>a</v>
      </c>
      <c r="N109" s="1"/>
      <c r="O109" s="48">
        <f t="shared" si="6"/>
        <v>98</v>
      </c>
      <c r="P109" s="48" t="str" cm="1">
        <f t="array" ref="P109">CHAR(ROW(98:98))</f>
        <v>b</v>
      </c>
      <c r="R109" s="21">
        <v>98</v>
      </c>
      <c r="S109" s="59">
        <v>169</v>
      </c>
      <c r="T109" s="48" t="str">
        <v>©</v>
      </c>
      <c r="V109" s="1"/>
      <c r="W109" s="1"/>
      <c r="X109" s="1"/>
      <c r="Y109" s="1"/>
      <c r="Z109" s="1"/>
      <c r="AA109" s="1"/>
      <c r="AB109" s="5"/>
      <c r="AC109" s="4"/>
      <c r="AD109" s="3"/>
      <c r="AE109" s="2"/>
      <c r="AF109" s="1"/>
      <c r="AG109" s="45"/>
      <c r="AH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</row>
    <row r="110" spans="1:66" customFormat="1" x14ac:dyDescent="0.4">
      <c r="A110" s="1"/>
      <c r="B110" s="2"/>
      <c r="C110" s="3"/>
      <c r="D110" s="4"/>
      <c r="E110" s="5"/>
      <c r="F110" s="1"/>
      <c r="H110" s="63" t="s">
        <v>407</v>
      </c>
      <c r="I110" s="43">
        <v>98</v>
      </c>
      <c r="J110" s="43" t="s">
        <v>103</v>
      </c>
      <c r="K110" s="53">
        <f t="shared" si="4"/>
        <v>98</v>
      </c>
      <c r="L110" s="57">
        <f t="shared" si="5"/>
        <v>98</v>
      </c>
      <c r="M110" s="54" t="str">
        <f>CHAR(Table35[[#This Row],[Decimal]])</f>
        <v>b</v>
      </c>
      <c r="N110" s="1"/>
      <c r="O110" s="48">
        <f t="shared" si="6"/>
        <v>99</v>
      </c>
      <c r="P110" s="48" t="str" cm="1">
        <f t="array" ref="P110">CHAR(ROW(99:99))</f>
        <v>c</v>
      </c>
      <c r="R110" s="21">
        <v>99</v>
      </c>
      <c r="S110" s="59">
        <v>172</v>
      </c>
      <c r="T110" s="48" t="str">
        <v>¬</v>
      </c>
      <c r="V110" s="1"/>
      <c r="W110" s="1"/>
      <c r="X110" s="1"/>
      <c r="Y110" s="1"/>
      <c r="Z110" s="1"/>
      <c r="AA110" s="1"/>
      <c r="AB110" s="5"/>
      <c r="AC110" s="4"/>
      <c r="AD110" s="3"/>
      <c r="AE110" s="2"/>
      <c r="AF110" s="1"/>
      <c r="AG110" s="45"/>
      <c r="AH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</row>
    <row r="111" spans="1:66" customFormat="1" x14ac:dyDescent="0.4">
      <c r="A111" s="1"/>
      <c r="B111" s="2"/>
      <c r="C111" s="3"/>
      <c r="D111" s="4"/>
      <c r="E111" s="5"/>
      <c r="F111" s="1"/>
      <c r="H111" s="63" t="s">
        <v>408</v>
      </c>
      <c r="I111" s="43">
        <v>99</v>
      </c>
      <c r="J111" s="43" t="s">
        <v>104</v>
      </c>
      <c r="K111" s="53">
        <f t="shared" si="4"/>
        <v>99</v>
      </c>
      <c r="L111" s="57">
        <f t="shared" si="5"/>
        <v>99</v>
      </c>
      <c r="M111" s="54" t="str">
        <f>CHAR(Table35[[#This Row],[Decimal]])</f>
        <v>c</v>
      </c>
      <c r="N111" s="1"/>
      <c r="O111" s="48">
        <f t="shared" si="6"/>
        <v>100</v>
      </c>
      <c r="P111" s="48" t="str" cm="1">
        <f t="array" ref="P111">CHAR(ROW(100:100))</f>
        <v>d</v>
      </c>
      <c r="R111" s="21">
        <v>100</v>
      </c>
      <c r="S111" s="59">
        <v>174</v>
      </c>
      <c r="T111" s="48" t="str">
        <v>®</v>
      </c>
      <c r="V111" s="1"/>
      <c r="W111" s="1"/>
      <c r="X111" s="1"/>
      <c r="Y111" s="1"/>
      <c r="Z111" s="1"/>
      <c r="AA111" s="1"/>
      <c r="AB111" s="5"/>
      <c r="AC111" s="4"/>
      <c r="AD111" s="3"/>
      <c r="AE111" s="2"/>
      <c r="AF111" s="1"/>
      <c r="AG111" s="45"/>
      <c r="AH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</row>
    <row r="112" spans="1:66" customFormat="1" x14ac:dyDescent="0.4">
      <c r="A112" s="1"/>
      <c r="B112" s="2"/>
      <c r="C112" s="3"/>
      <c r="D112" s="4"/>
      <c r="E112" s="5"/>
      <c r="F112" s="1"/>
      <c r="H112" s="63" t="s">
        <v>409</v>
      </c>
      <c r="I112" s="43">
        <v>100</v>
      </c>
      <c r="J112" s="43" t="s">
        <v>105</v>
      </c>
      <c r="K112" s="53">
        <f t="shared" si="4"/>
        <v>100</v>
      </c>
      <c r="L112" s="57">
        <f t="shared" si="5"/>
        <v>100</v>
      </c>
      <c r="M112" s="54" t="str">
        <f>CHAR(Table35[[#This Row],[Decimal]])</f>
        <v>d</v>
      </c>
      <c r="N112" s="1"/>
      <c r="O112" s="48">
        <f t="shared" si="6"/>
        <v>101</v>
      </c>
      <c r="P112" s="48" t="str" cm="1">
        <f t="array" ref="P112">CHAR(ROW(101:101))</f>
        <v>e</v>
      </c>
      <c r="R112" s="21">
        <v>101</v>
      </c>
      <c r="S112" s="59">
        <v>176</v>
      </c>
      <c r="T112" s="48" t="str">
        <v>°</v>
      </c>
      <c r="V112" s="1"/>
      <c r="W112" s="1"/>
      <c r="X112" s="1"/>
      <c r="Y112" s="1"/>
      <c r="Z112" s="1"/>
      <c r="AA112" s="1"/>
      <c r="AB112" s="5"/>
      <c r="AC112" s="4"/>
      <c r="AD112" s="3"/>
      <c r="AE112" s="2"/>
      <c r="AF112" s="1"/>
      <c r="AG112" s="45"/>
      <c r="AH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</row>
    <row r="113" spans="1:66" customFormat="1" x14ac:dyDescent="0.4">
      <c r="A113" s="1"/>
      <c r="B113" s="2"/>
      <c r="C113" s="3"/>
      <c r="D113" s="4"/>
      <c r="E113" s="5"/>
      <c r="F113" s="1"/>
      <c r="H113" s="63" t="s">
        <v>410</v>
      </c>
      <c r="I113" s="43">
        <v>101</v>
      </c>
      <c r="J113" s="43" t="s">
        <v>106</v>
      </c>
      <c r="K113" s="53">
        <f t="shared" si="4"/>
        <v>101</v>
      </c>
      <c r="L113" s="57">
        <f t="shared" si="5"/>
        <v>101</v>
      </c>
      <c r="M113" s="54" t="str">
        <f>CHAR(Table35[[#This Row],[Decimal]])</f>
        <v>e</v>
      </c>
      <c r="N113" s="1"/>
      <c r="O113" s="48">
        <f t="shared" si="6"/>
        <v>102</v>
      </c>
      <c r="P113" s="48" t="str" cm="1">
        <f t="array" ref="P113">CHAR(ROW(102:102))</f>
        <v>f</v>
      </c>
      <c r="R113" s="21">
        <v>102</v>
      </c>
      <c r="S113" s="59">
        <v>181</v>
      </c>
      <c r="T113" s="48" t="str">
        <v>µ</v>
      </c>
      <c r="V113" s="1"/>
      <c r="W113" s="1"/>
      <c r="X113" s="1"/>
      <c r="Y113" s="1"/>
      <c r="Z113" s="1"/>
      <c r="AA113" s="1"/>
      <c r="AB113" s="5"/>
      <c r="AC113" s="4"/>
      <c r="AD113" s="3"/>
      <c r="AE113" s="2"/>
      <c r="AF113" s="1"/>
      <c r="AG113" s="45"/>
      <c r="AH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</row>
    <row r="114" spans="1:66" customFormat="1" x14ac:dyDescent="0.4">
      <c r="A114" s="1"/>
      <c r="B114" s="2"/>
      <c r="C114" s="3"/>
      <c r="D114" s="4"/>
      <c r="E114" s="5"/>
      <c r="F114" s="1"/>
      <c r="H114" s="63" t="s">
        <v>411</v>
      </c>
      <c r="I114" s="43">
        <v>102</v>
      </c>
      <c r="J114" s="43" t="s">
        <v>107</v>
      </c>
      <c r="K114" s="53">
        <f t="shared" si="4"/>
        <v>102</v>
      </c>
      <c r="L114" s="57">
        <f t="shared" si="5"/>
        <v>102</v>
      </c>
      <c r="M114" s="54" t="str">
        <f>CHAR(Table35[[#This Row],[Decimal]])</f>
        <v>f</v>
      </c>
      <c r="N114" s="1"/>
      <c r="O114" s="48">
        <f t="shared" si="6"/>
        <v>103</v>
      </c>
      <c r="P114" s="48" t="str" cm="1">
        <f t="array" ref="P114">CHAR(ROW(103:103))</f>
        <v>g</v>
      </c>
      <c r="R114" s="21">
        <v>103</v>
      </c>
      <c r="S114" s="59">
        <v>182</v>
      </c>
      <c r="T114" s="48" t="str">
        <v>¶</v>
      </c>
      <c r="V114" s="1"/>
      <c r="W114" s="1"/>
      <c r="X114" s="1"/>
      <c r="Y114" s="1"/>
      <c r="Z114" s="1"/>
      <c r="AA114" s="1"/>
      <c r="AB114" s="5"/>
      <c r="AC114" s="4"/>
      <c r="AD114" s="3"/>
      <c r="AE114" s="2"/>
      <c r="AF114" s="1"/>
      <c r="AG114" s="45"/>
      <c r="AH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</row>
    <row r="115" spans="1:66" customFormat="1" x14ac:dyDescent="0.4">
      <c r="A115" s="1"/>
      <c r="B115" s="2"/>
      <c r="C115" s="3"/>
      <c r="D115" s="4"/>
      <c r="E115" s="5"/>
      <c r="F115" s="1"/>
      <c r="H115" s="63" t="s">
        <v>412</v>
      </c>
      <c r="I115" s="43">
        <v>103</v>
      </c>
      <c r="J115" s="43" t="s">
        <v>108</v>
      </c>
      <c r="K115" s="53">
        <f t="shared" si="4"/>
        <v>103</v>
      </c>
      <c r="L115" s="57">
        <f t="shared" si="5"/>
        <v>103</v>
      </c>
      <c r="M115" s="54" t="str">
        <f>CHAR(Table35[[#This Row],[Decimal]])</f>
        <v>g</v>
      </c>
      <c r="N115" s="1"/>
      <c r="O115" s="48">
        <f t="shared" si="6"/>
        <v>104</v>
      </c>
      <c r="P115" s="48" t="str" cm="1">
        <f t="array" ref="P115">CHAR(ROW(104:104))</f>
        <v>h</v>
      </c>
      <c r="R115" s="21">
        <v>104</v>
      </c>
      <c r="S115" s="59">
        <v>183</v>
      </c>
      <c r="T115" s="48" t="str">
        <v>·</v>
      </c>
      <c r="V115" s="1"/>
      <c r="W115" s="1"/>
      <c r="X115" s="1"/>
      <c r="Y115" s="1"/>
      <c r="Z115" s="1"/>
      <c r="AA115" s="1"/>
      <c r="AB115" s="5"/>
      <c r="AC115" s="4"/>
      <c r="AD115" s="3"/>
      <c r="AE115" s="2"/>
      <c r="AF115" s="1"/>
      <c r="AG115" s="45"/>
      <c r="AH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</row>
    <row r="116" spans="1:66" customFormat="1" x14ac:dyDescent="0.4">
      <c r="A116" s="1"/>
      <c r="B116" s="2"/>
      <c r="C116" s="3"/>
      <c r="D116" s="4"/>
      <c r="E116" s="5"/>
      <c r="F116" s="1"/>
      <c r="H116" s="63" t="s">
        <v>413</v>
      </c>
      <c r="I116" s="43">
        <v>104</v>
      </c>
      <c r="J116" s="43" t="s">
        <v>109</v>
      </c>
      <c r="K116" s="53">
        <f t="shared" si="4"/>
        <v>104</v>
      </c>
      <c r="L116" s="57">
        <f t="shared" si="5"/>
        <v>104</v>
      </c>
      <c r="M116" s="54" t="str">
        <f>CHAR(Table35[[#This Row],[Decimal]])</f>
        <v>h</v>
      </c>
      <c r="N116" s="1"/>
      <c r="O116" s="48">
        <f t="shared" si="6"/>
        <v>105</v>
      </c>
      <c r="P116" s="48" t="str" cm="1">
        <f t="array" ref="P116">CHAR(ROW(105:105))</f>
        <v>i</v>
      </c>
      <c r="R116" s="21">
        <v>105</v>
      </c>
      <c r="S116" s="59">
        <v>133</v>
      </c>
      <c r="T116" s="48" t="str">
        <v>…</v>
      </c>
      <c r="V116" s="1"/>
      <c r="W116" s="1"/>
      <c r="X116" s="1"/>
      <c r="Y116" s="1"/>
      <c r="Z116" s="1"/>
      <c r="AA116" s="1"/>
      <c r="AB116" s="5"/>
      <c r="AC116" s="4"/>
      <c r="AD116" s="3"/>
      <c r="AE116" s="2"/>
      <c r="AF116" s="1"/>
      <c r="AG116" s="45"/>
      <c r="AH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</row>
    <row r="117" spans="1:66" customFormat="1" x14ac:dyDescent="0.4">
      <c r="A117" s="1"/>
      <c r="B117" s="2"/>
      <c r="C117" s="3"/>
      <c r="D117" s="4"/>
      <c r="E117" s="5"/>
      <c r="F117" s="1"/>
      <c r="H117" s="63" t="s">
        <v>414</v>
      </c>
      <c r="I117" s="43">
        <v>105</v>
      </c>
      <c r="J117" s="43" t="s">
        <v>110</v>
      </c>
      <c r="K117" s="53">
        <f t="shared" si="4"/>
        <v>105</v>
      </c>
      <c r="L117" s="57">
        <f t="shared" si="5"/>
        <v>105</v>
      </c>
      <c r="M117" s="54" t="str">
        <f>CHAR(Table35[[#This Row],[Decimal]])</f>
        <v>i</v>
      </c>
      <c r="N117" s="1"/>
      <c r="O117" s="48">
        <f t="shared" si="6"/>
        <v>106</v>
      </c>
      <c r="P117" s="48" t="str" cm="1">
        <f t="array" ref="P117">CHAR(ROW(106:106))</f>
        <v>j</v>
      </c>
      <c r="R117" s="21">
        <v>106</v>
      </c>
      <c r="S117" s="59">
        <v>134</v>
      </c>
      <c r="T117" s="48" t="str">
        <v>†</v>
      </c>
      <c r="V117" s="1"/>
      <c r="W117" s="1"/>
      <c r="X117" s="1"/>
      <c r="Y117" s="1"/>
      <c r="Z117" s="1"/>
      <c r="AA117" s="1"/>
      <c r="AB117" s="5"/>
      <c r="AC117" s="4"/>
      <c r="AD117" s="3"/>
      <c r="AE117" s="2"/>
      <c r="AF117" s="1"/>
      <c r="AG117" s="45"/>
      <c r="AH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</row>
    <row r="118" spans="1:66" customFormat="1" x14ac:dyDescent="0.4">
      <c r="A118" s="1"/>
      <c r="B118" s="2"/>
      <c r="C118" s="3"/>
      <c r="D118" s="4"/>
      <c r="E118" s="5"/>
      <c r="F118" s="1"/>
      <c r="H118" s="63" t="s">
        <v>415</v>
      </c>
      <c r="I118" s="43">
        <v>106</v>
      </c>
      <c r="J118" s="43" t="s">
        <v>111</v>
      </c>
      <c r="K118" s="53">
        <f t="shared" si="4"/>
        <v>106</v>
      </c>
      <c r="L118" s="57">
        <f t="shared" si="5"/>
        <v>106</v>
      </c>
      <c r="M118" s="54" t="str">
        <f>CHAR(Table35[[#This Row],[Decimal]])</f>
        <v>j</v>
      </c>
      <c r="N118" s="1"/>
      <c r="O118" s="48">
        <f t="shared" si="6"/>
        <v>107</v>
      </c>
      <c r="P118" s="48" t="str" cm="1">
        <f t="array" ref="P118">CHAR(ROW(107:107))</f>
        <v>k</v>
      </c>
      <c r="R118" s="21">
        <v>107</v>
      </c>
      <c r="S118" s="59">
        <v>135</v>
      </c>
      <c r="T118" s="48" t="str">
        <v>‡</v>
      </c>
      <c r="V118" s="1"/>
      <c r="W118" s="1"/>
      <c r="X118" s="1"/>
      <c r="Y118" s="1"/>
      <c r="Z118" s="1"/>
      <c r="AA118" s="1"/>
      <c r="AB118" s="5"/>
      <c r="AC118" s="4"/>
      <c r="AD118" s="3"/>
      <c r="AE118" s="2"/>
      <c r="AF118" s="1"/>
      <c r="AG118" s="45"/>
      <c r="AH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</row>
    <row r="119" spans="1:66" customFormat="1" x14ac:dyDescent="0.4">
      <c r="A119" s="1"/>
      <c r="B119" s="2"/>
      <c r="C119" s="3"/>
      <c r="D119" s="4"/>
      <c r="E119" s="5"/>
      <c r="F119" s="1"/>
      <c r="H119" s="63" t="s">
        <v>416</v>
      </c>
      <c r="I119" s="43">
        <v>107</v>
      </c>
      <c r="J119" s="43" t="s">
        <v>112</v>
      </c>
      <c r="K119" s="53">
        <f t="shared" si="4"/>
        <v>107</v>
      </c>
      <c r="L119" s="57">
        <f t="shared" si="5"/>
        <v>107</v>
      </c>
      <c r="M119" s="54" t="str">
        <f>CHAR(Table35[[#This Row],[Decimal]])</f>
        <v>k</v>
      </c>
      <c r="N119" s="1"/>
      <c r="O119" s="48">
        <f t="shared" si="6"/>
        <v>108</v>
      </c>
      <c r="P119" s="48" t="str" cm="1">
        <f t="array" ref="P119">CHAR(ROW(108:108))</f>
        <v>l</v>
      </c>
      <c r="R119" s="21">
        <v>108</v>
      </c>
      <c r="S119" s="59">
        <v>149</v>
      </c>
      <c r="T119" s="48" t="str">
        <v>•</v>
      </c>
      <c r="V119" s="1"/>
      <c r="W119" s="1"/>
      <c r="X119" s="1"/>
      <c r="Y119" s="1"/>
      <c r="Z119" s="1"/>
      <c r="AA119" s="1"/>
      <c r="AB119" s="5"/>
      <c r="AC119" s="4"/>
      <c r="AD119" s="3"/>
      <c r="AE119" s="2"/>
      <c r="AF119" s="1"/>
      <c r="AG119" s="45"/>
      <c r="AH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</row>
    <row r="120" spans="1:66" customFormat="1" x14ac:dyDescent="0.4">
      <c r="A120" s="1"/>
      <c r="B120" s="2"/>
      <c r="C120" s="3"/>
      <c r="D120" s="4"/>
      <c r="E120" s="5"/>
      <c r="F120" s="1"/>
      <c r="H120" s="63" t="s">
        <v>417</v>
      </c>
      <c r="I120" s="43">
        <v>108</v>
      </c>
      <c r="J120" s="43" t="s">
        <v>113</v>
      </c>
      <c r="K120" s="53">
        <f t="shared" si="4"/>
        <v>108</v>
      </c>
      <c r="L120" s="57">
        <f t="shared" si="5"/>
        <v>108</v>
      </c>
      <c r="M120" s="54" t="str">
        <f>CHAR(Table35[[#This Row],[Decimal]])</f>
        <v>l</v>
      </c>
      <c r="N120" s="1"/>
      <c r="O120" s="48">
        <f t="shared" si="6"/>
        <v>109</v>
      </c>
      <c r="P120" s="48" t="str" cm="1">
        <f t="array" ref="P120">CHAR(ROW(109:109))</f>
        <v>m</v>
      </c>
      <c r="R120" s="21">
        <v>109</v>
      </c>
      <c r="S120" s="59">
        <v>137</v>
      </c>
      <c r="T120" s="48" t="str">
        <v>‰</v>
      </c>
      <c r="V120" s="1"/>
      <c r="W120" s="1"/>
      <c r="X120" s="1"/>
      <c r="Y120" s="1"/>
      <c r="Z120" s="1"/>
      <c r="AA120" s="1"/>
      <c r="AB120" s="5"/>
      <c r="AC120" s="4"/>
      <c r="AD120" s="3"/>
      <c r="AE120" s="2"/>
      <c r="AF120" s="1"/>
      <c r="AG120" s="45"/>
      <c r="AH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</row>
    <row r="121" spans="1:66" customFormat="1" x14ac:dyDescent="0.4">
      <c r="A121" s="1"/>
      <c r="B121" s="2"/>
      <c r="C121" s="3"/>
      <c r="D121" s="4"/>
      <c r="E121" s="5"/>
      <c r="F121" s="1"/>
      <c r="H121" s="63" t="s">
        <v>418</v>
      </c>
      <c r="I121" s="43">
        <v>109</v>
      </c>
      <c r="J121" s="43" t="s">
        <v>114</v>
      </c>
      <c r="K121" s="53">
        <f t="shared" si="4"/>
        <v>109</v>
      </c>
      <c r="L121" s="57">
        <f t="shared" si="5"/>
        <v>109</v>
      </c>
      <c r="M121" s="54" t="str">
        <f>CHAR(Table35[[#This Row],[Decimal]])</f>
        <v>m</v>
      </c>
      <c r="N121" s="1"/>
      <c r="O121" s="48">
        <f t="shared" si="6"/>
        <v>110</v>
      </c>
      <c r="P121" s="48" t="str" cm="1">
        <f t="array" ref="P121">CHAR(ROW(110:110))</f>
        <v>n</v>
      </c>
      <c r="R121" s="21">
        <v>110</v>
      </c>
      <c r="S121" s="59">
        <v>129</v>
      </c>
      <c r="T121" s="48" t="str">
        <v></v>
      </c>
      <c r="V121" s="1"/>
      <c r="W121" s="1"/>
      <c r="X121" s="1"/>
      <c r="Y121" s="1"/>
      <c r="Z121" s="1"/>
      <c r="AA121" s="1"/>
      <c r="AB121" s="5"/>
      <c r="AC121" s="4"/>
      <c r="AD121" s="3"/>
      <c r="AE121" s="2"/>
      <c r="AF121" s="1"/>
      <c r="AG121" s="45"/>
      <c r="AH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</row>
    <row r="122" spans="1:66" customFormat="1" x14ac:dyDescent="0.4">
      <c r="A122" s="1"/>
      <c r="B122" s="2"/>
      <c r="C122" s="3"/>
      <c r="D122" s="4"/>
      <c r="E122" s="5"/>
      <c r="F122" s="1"/>
      <c r="H122" s="63" t="s">
        <v>419</v>
      </c>
      <c r="I122" s="43">
        <v>110</v>
      </c>
      <c r="J122" s="43" t="s">
        <v>115</v>
      </c>
      <c r="K122" s="53">
        <f t="shared" si="4"/>
        <v>110</v>
      </c>
      <c r="L122" s="57">
        <f t="shared" si="5"/>
        <v>110</v>
      </c>
      <c r="M122" s="54" t="str">
        <f>CHAR(Table35[[#This Row],[Decimal]])</f>
        <v>n</v>
      </c>
      <c r="N122" s="1"/>
      <c r="O122" s="48">
        <f t="shared" si="6"/>
        <v>111</v>
      </c>
      <c r="P122" s="48" t="str" cm="1">
        <f t="array" ref="P122">CHAR(ROW(111:111))</f>
        <v>o</v>
      </c>
      <c r="R122" s="21">
        <v>111</v>
      </c>
      <c r="S122" s="59">
        <v>141</v>
      </c>
      <c r="T122" s="48" t="str">
        <v></v>
      </c>
      <c r="V122" s="1"/>
      <c r="W122" s="1"/>
      <c r="X122" s="1"/>
      <c r="Y122" s="1"/>
      <c r="Z122" s="1"/>
      <c r="AA122" s="1"/>
      <c r="AB122" s="5"/>
      <c r="AC122" s="4"/>
      <c r="AD122" s="3"/>
      <c r="AE122" s="2"/>
      <c r="AF122" s="1"/>
      <c r="AG122" s="45"/>
      <c r="AH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</row>
    <row r="123" spans="1:66" customFormat="1" x14ac:dyDescent="0.4">
      <c r="A123" s="1"/>
      <c r="B123" s="2"/>
      <c r="C123" s="3"/>
      <c r="D123" s="4"/>
      <c r="E123" s="5"/>
      <c r="F123" s="1"/>
      <c r="H123" s="63" t="s">
        <v>420</v>
      </c>
      <c r="I123" s="43">
        <v>111</v>
      </c>
      <c r="J123" s="43" t="s">
        <v>116</v>
      </c>
      <c r="K123" s="53">
        <f t="shared" si="4"/>
        <v>111</v>
      </c>
      <c r="L123" s="57">
        <f t="shared" si="5"/>
        <v>111</v>
      </c>
      <c r="M123" s="54" t="str">
        <f>CHAR(Table35[[#This Row],[Decimal]])</f>
        <v>o</v>
      </c>
      <c r="N123" s="1"/>
      <c r="O123" s="48">
        <f t="shared" si="6"/>
        <v>112</v>
      </c>
      <c r="P123" s="48" t="str" cm="1">
        <f t="array" ref="P123">CHAR(ROW(112:112))</f>
        <v>p</v>
      </c>
      <c r="R123" s="21">
        <v>112</v>
      </c>
      <c r="S123" s="59">
        <v>143</v>
      </c>
      <c r="T123" s="48" t="str">
        <v></v>
      </c>
      <c r="V123" s="1"/>
      <c r="W123" s="1"/>
      <c r="X123" s="1"/>
      <c r="Y123" s="1"/>
      <c r="Z123" s="1"/>
      <c r="AA123" s="1"/>
      <c r="AB123" s="5"/>
      <c r="AC123" s="4"/>
      <c r="AD123" s="3"/>
      <c r="AE123" s="2"/>
      <c r="AF123" s="1"/>
      <c r="AG123" s="45"/>
      <c r="AH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</row>
    <row r="124" spans="1:66" customFormat="1" x14ac:dyDescent="0.4">
      <c r="A124" s="1"/>
      <c r="B124" s="2"/>
      <c r="C124" s="3"/>
      <c r="D124" s="4"/>
      <c r="E124" s="5"/>
      <c r="F124" s="1"/>
      <c r="H124" s="63" t="s">
        <v>421</v>
      </c>
      <c r="I124" s="43">
        <v>112</v>
      </c>
      <c r="J124" s="43" t="s">
        <v>117</v>
      </c>
      <c r="K124" s="53">
        <f t="shared" si="4"/>
        <v>112</v>
      </c>
      <c r="L124" s="57">
        <f t="shared" si="5"/>
        <v>112</v>
      </c>
      <c r="M124" s="54" t="str">
        <f>CHAR(Table35[[#This Row],[Decimal]])</f>
        <v>p</v>
      </c>
      <c r="N124" s="1"/>
      <c r="O124" s="48">
        <f t="shared" si="6"/>
        <v>113</v>
      </c>
      <c r="P124" s="48" t="str" cm="1">
        <f t="array" ref="P124">CHAR(ROW(113:113))</f>
        <v>q</v>
      </c>
      <c r="R124" s="21">
        <v>113</v>
      </c>
      <c r="S124" s="59">
        <v>144</v>
      </c>
      <c r="T124" s="48" t="str">
        <v></v>
      </c>
      <c r="V124" s="1"/>
      <c r="W124" s="1"/>
      <c r="X124" s="1"/>
      <c r="Y124" s="1"/>
      <c r="Z124" s="1"/>
      <c r="AA124" s="1"/>
      <c r="AB124" s="5"/>
      <c r="AC124" s="4"/>
      <c r="AD124" s="3"/>
      <c r="AE124" s="2"/>
      <c r="AF124" s="1"/>
      <c r="AG124" s="45"/>
      <c r="AH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</row>
    <row r="125" spans="1:66" customFormat="1" x14ac:dyDescent="0.4">
      <c r="A125" s="1"/>
      <c r="B125" s="2"/>
      <c r="C125" s="3"/>
      <c r="D125" s="4"/>
      <c r="E125" s="5"/>
      <c r="F125" s="1"/>
      <c r="H125" s="63" t="s">
        <v>422</v>
      </c>
      <c r="I125" s="43">
        <v>113</v>
      </c>
      <c r="J125" s="43" t="s">
        <v>118</v>
      </c>
      <c r="K125" s="53">
        <f t="shared" si="4"/>
        <v>113</v>
      </c>
      <c r="L125" s="57">
        <f t="shared" si="5"/>
        <v>113</v>
      </c>
      <c r="M125" s="54" t="str">
        <f>CHAR(Table35[[#This Row],[Decimal]])</f>
        <v>q</v>
      </c>
      <c r="N125" s="1"/>
      <c r="O125" s="48">
        <f t="shared" si="6"/>
        <v>114</v>
      </c>
      <c r="P125" s="48" t="str" cm="1">
        <f t="array" ref="P125">CHAR(ROW(114:114))</f>
        <v>r</v>
      </c>
      <c r="R125" s="21">
        <v>114</v>
      </c>
      <c r="S125" s="59">
        <v>157</v>
      </c>
      <c r="T125" s="48" t="str">
        <v></v>
      </c>
      <c r="V125" s="1"/>
      <c r="W125" s="1"/>
      <c r="X125" s="1"/>
      <c r="Y125" s="1"/>
      <c r="Z125" s="1"/>
      <c r="AA125" s="1"/>
      <c r="AB125" s="5"/>
      <c r="AC125" s="4"/>
      <c r="AD125" s="3"/>
      <c r="AE125" s="2"/>
      <c r="AF125" s="1"/>
      <c r="AG125" s="45"/>
      <c r="AH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</row>
    <row r="126" spans="1:66" customFormat="1" x14ac:dyDescent="0.4">
      <c r="A126" s="1"/>
      <c r="B126" s="2"/>
      <c r="C126" s="3"/>
      <c r="D126" s="4"/>
      <c r="E126" s="5"/>
      <c r="F126" s="1"/>
      <c r="H126" s="63" t="s">
        <v>423</v>
      </c>
      <c r="I126" s="43">
        <v>114</v>
      </c>
      <c r="J126" s="43" t="s">
        <v>119</v>
      </c>
      <c r="K126" s="53">
        <f t="shared" si="4"/>
        <v>114</v>
      </c>
      <c r="L126" s="57">
        <f t="shared" si="5"/>
        <v>114</v>
      </c>
      <c r="M126" s="54" t="str">
        <f>CHAR(Table35[[#This Row],[Decimal]])</f>
        <v>r</v>
      </c>
      <c r="N126" s="1"/>
      <c r="O126" s="48">
        <f t="shared" si="6"/>
        <v>115</v>
      </c>
      <c r="P126" s="48" t="str" cm="1">
        <f t="array" ref="P126">CHAR(ROW(115:115))</f>
        <v>s</v>
      </c>
      <c r="R126" s="21">
        <v>115</v>
      </c>
      <c r="S126" s="59">
        <v>48</v>
      </c>
      <c r="T126" s="48" t="str">
        <v>0</v>
      </c>
      <c r="V126" s="1"/>
      <c r="W126" s="1"/>
      <c r="X126" s="1"/>
      <c r="Y126" s="1"/>
      <c r="Z126" s="1"/>
      <c r="AA126" s="1"/>
      <c r="AB126" s="5"/>
      <c r="AC126" s="4"/>
      <c r="AD126" s="3"/>
      <c r="AE126" s="2"/>
      <c r="AF126" s="1"/>
      <c r="AG126" s="45"/>
      <c r="AH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</row>
    <row r="127" spans="1:66" customFormat="1" x14ac:dyDescent="0.4">
      <c r="A127" s="1"/>
      <c r="B127" s="2"/>
      <c r="C127" s="3"/>
      <c r="D127" s="4"/>
      <c r="E127" s="5"/>
      <c r="F127" s="1"/>
      <c r="H127" s="63" t="s">
        <v>424</v>
      </c>
      <c r="I127" s="43">
        <v>115</v>
      </c>
      <c r="J127" s="43" t="s">
        <v>120</v>
      </c>
      <c r="K127" s="53">
        <f t="shared" si="4"/>
        <v>115</v>
      </c>
      <c r="L127" s="57">
        <f t="shared" si="5"/>
        <v>115</v>
      </c>
      <c r="M127" s="54" t="str">
        <f>CHAR(Table35[[#This Row],[Decimal]])</f>
        <v>s</v>
      </c>
      <c r="N127" s="1"/>
      <c r="O127" s="48">
        <f t="shared" si="6"/>
        <v>116</v>
      </c>
      <c r="P127" s="48" t="str" cm="1">
        <f t="array" ref="P127">CHAR(ROW(116:116))</f>
        <v>t</v>
      </c>
      <c r="R127" s="21">
        <v>116</v>
      </c>
      <c r="S127" s="59">
        <v>188</v>
      </c>
      <c r="T127" s="48" t="str">
        <v>¼</v>
      </c>
      <c r="V127" s="1"/>
      <c r="W127" s="1"/>
      <c r="X127" s="1"/>
      <c r="Y127" s="1"/>
      <c r="Z127" s="1"/>
      <c r="AA127" s="1"/>
      <c r="AB127" s="5"/>
      <c r="AC127" s="4"/>
      <c r="AD127" s="3"/>
      <c r="AE127" s="2"/>
      <c r="AF127" s="1"/>
      <c r="AG127" s="45"/>
      <c r="AH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</row>
    <row r="128" spans="1:66" customFormat="1" x14ac:dyDescent="0.4">
      <c r="A128" s="1"/>
      <c r="B128" s="2"/>
      <c r="C128" s="3"/>
      <c r="D128" s="4"/>
      <c r="E128" s="5"/>
      <c r="F128" s="1"/>
      <c r="H128" s="63" t="s">
        <v>425</v>
      </c>
      <c r="I128" s="43">
        <v>116</v>
      </c>
      <c r="J128" s="43" t="s">
        <v>121</v>
      </c>
      <c r="K128" s="53">
        <f t="shared" si="4"/>
        <v>116</v>
      </c>
      <c r="L128" s="57">
        <f t="shared" si="5"/>
        <v>116</v>
      </c>
      <c r="M128" s="54" t="str">
        <f>CHAR(Table35[[#This Row],[Decimal]])</f>
        <v>t</v>
      </c>
      <c r="N128" s="1"/>
      <c r="O128" s="48">
        <f t="shared" si="6"/>
        <v>117</v>
      </c>
      <c r="P128" s="48" t="str" cm="1">
        <f t="array" ref="P128">CHAR(ROW(117:117))</f>
        <v>u</v>
      </c>
      <c r="R128" s="21">
        <v>117</v>
      </c>
      <c r="S128" s="59">
        <v>189</v>
      </c>
      <c r="T128" s="48" t="str">
        <v>½</v>
      </c>
      <c r="V128" s="1"/>
      <c r="W128" s="1"/>
      <c r="X128" s="1"/>
      <c r="Y128" s="1"/>
      <c r="Z128" s="1"/>
      <c r="AA128" s="1"/>
      <c r="AB128" s="5"/>
      <c r="AC128" s="4"/>
      <c r="AD128" s="3"/>
      <c r="AE128" s="2"/>
      <c r="AF128" s="1"/>
      <c r="AG128" s="45"/>
      <c r="AH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</row>
    <row r="129" spans="1:66" customFormat="1" x14ac:dyDescent="0.4">
      <c r="A129" s="1"/>
      <c r="B129" s="2"/>
      <c r="C129" s="3"/>
      <c r="D129" s="4"/>
      <c r="E129" s="5"/>
      <c r="F129" s="1"/>
      <c r="H129" s="63" t="s">
        <v>426</v>
      </c>
      <c r="I129" s="43">
        <v>117</v>
      </c>
      <c r="J129" s="43" t="s">
        <v>122</v>
      </c>
      <c r="K129" s="53">
        <f t="shared" si="4"/>
        <v>117</v>
      </c>
      <c r="L129" s="57">
        <f t="shared" si="5"/>
        <v>117</v>
      </c>
      <c r="M129" s="54" t="str">
        <f>CHAR(Table35[[#This Row],[Decimal]])</f>
        <v>u</v>
      </c>
      <c r="N129" s="1"/>
      <c r="O129" s="48">
        <f t="shared" si="6"/>
        <v>118</v>
      </c>
      <c r="P129" s="48" t="str" cm="1">
        <f t="array" ref="P129">CHAR(ROW(118:118))</f>
        <v>v</v>
      </c>
      <c r="R129" s="21">
        <v>118</v>
      </c>
      <c r="S129" s="59">
        <v>190</v>
      </c>
      <c r="T129" s="48" t="str">
        <v>¾</v>
      </c>
      <c r="V129" s="1"/>
      <c r="W129" s="1"/>
      <c r="X129" s="1"/>
      <c r="Y129" s="1"/>
      <c r="Z129" s="1"/>
      <c r="AA129" s="1"/>
      <c r="AB129" s="5"/>
      <c r="AC129" s="4"/>
      <c r="AD129" s="3"/>
      <c r="AE129" s="2"/>
      <c r="AF129" s="1"/>
      <c r="AG129" s="45"/>
      <c r="AH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</row>
    <row r="130" spans="1:66" customFormat="1" x14ac:dyDescent="0.4">
      <c r="A130" s="1"/>
      <c r="B130" s="2"/>
      <c r="C130" s="3"/>
      <c r="D130" s="4"/>
      <c r="E130" s="5"/>
      <c r="F130" s="1"/>
      <c r="H130" s="63" t="s">
        <v>427</v>
      </c>
      <c r="I130" s="43">
        <v>118</v>
      </c>
      <c r="J130" s="43" t="s">
        <v>123</v>
      </c>
      <c r="K130" s="53">
        <f t="shared" si="4"/>
        <v>118</v>
      </c>
      <c r="L130" s="57">
        <f t="shared" si="5"/>
        <v>118</v>
      </c>
      <c r="M130" s="54" t="str">
        <f>CHAR(Table35[[#This Row],[Decimal]])</f>
        <v>v</v>
      </c>
      <c r="N130" s="1"/>
      <c r="O130" s="48">
        <f t="shared" si="6"/>
        <v>119</v>
      </c>
      <c r="P130" s="48" t="str" cm="1">
        <f t="array" ref="P130">CHAR(ROW(119:119))</f>
        <v>w</v>
      </c>
      <c r="R130" s="21">
        <v>119</v>
      </c>
      <c r="S130" s="59">
        <v>49</v>
      </c>
      <c r="T130" s="48" t="str">
        <v>1</v>
      </c>
      <c r="V130" s="1"/>
      <c r="W130" s="1"/>
      <c r="X130" s="1"/>
      <c r="Y130" s="1"/>
      <c r="Z130" s="1"/>
      <c r="AA130" s="1"/>
      <c r="AB130" s="5"/>
      <c r="AC130" s="4"/>
      <c r="AD130" s="3"/>
      <c r="AE130" s="2"/>
      <c r="AF130" s="1"/>
      <c r="AG130" s="45"/>
      <c r="AH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</row>
    <row r="131" spans="1:66" customFormat="1" x14ac:dyDescent="0.4">
      <c r="A131" s="1"/>
      <c r="B131" s="2"/>
      <c r="C131" s="3"/>
      <c r="D131" s="4"/>
      <c r="E131" s="5"/>
      <c r="F131" s="1"/>
      <c r="H131" s="63" t="s">
        <v>428</v>
      </c>
      <c r="I131" s="43">
        <v>119</v>
      </c>
      <c r="J131" s="43" t="s">
        <v>124</v>
      </c>
      <c r="K131" s="53">
        <f t="shared" si="4"/>
        <v>119</v>
      </c>
      <c r="L131" s="57">
        <f t="shared" si="5"/>
        <v>119</v>
      </c>
      <c r="M131" s="54" t="str">
        <f>CHAR(Table35[[#This Row],[Decimal]])</f>
        <v>w</v>
      </c>
      <c r="N131" s="1"/>
      <c r="O131" s="48">
        <f t="shared" si="6"/>
        <v>120</v>
      </c>
      <c r="P131" s="48" t="str" cm="1">
        <f t="array" ref="P131">CHAR(ROW(120:120))</f>
        <v>x</v>
      </c>
      <c r="R131" s="21">
        <v>120</v>
      </c>
      <c r="S131" s="59">
        <v>185</v>
      </c>
      <c r="T131" s="48" t="str">
        <v>¹</v>
      </c>
      <c r="V131" s="1"/>
      <c r="W131" s="1"/>
      <c r="X131" s="1"/>
      <c r="Y131" s="1"/>
      <c r="Z131" s="1"/>
      <c r="AA131" s="1"/>
      <c r="AB131" s="5"/>
      <c r="AC131" s="4"/>
      <c r="AD131" s="3"/>
      <c r="AE131" s="2"/>
      <c r="AF131" s="1"/>
      <c r="AG131" s="45"/>
      <c r="AH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</row>
    <row r="132" spans="1:66" customFormat="1" x14ac:dyDescent="0.4">
      <c r="A132" s="1"/>
      <c r="B132" s="2"/>
      <c r="C132" s="3"/>
      <c r="D132" s="4"/>
      <c r="E132" s="5"/>
      <c r="F132" s="1"/>
      <c r="H132" s="63" t="s">
        <v>429</v>
      </c>
      <c r="I132" s="43">
        <v>120</v>
      </c>
      <c r="J132" s="43" t="s">
        <v>125</v>
      </c>
      <c r="K132" s="53">
        <f t="shared" si="4"/>
        <v>120</v>
      </c>
      <c r="L132" s="57">
        <f t="shared" si="5"/>
        <v>120</v>
      </c>
      <c r="M132" s="54" t="str">
        <f>CHAR(Table35[[#This Row],[Decimal]])</f>
        <v>x</v>
      </c>
      <c r="N132" s="1"/>
      <c r="O132" s="48">
        <f t="shared" si="6"/>
        <v>121</v>
      </c>
      <c r="P132" s="48" t="str" cm="1">
        <f t="array" ref="P132">CHAR(ROW(121:121))</f>
        <v>y</v>
      </c>
      <c r="R132" s="21">
        <v>121</v>
      </c>
      <c r="S132" s="59">
        <v>50</v>
      </c>
      <c r="T132" s="48" t="str">
        <v>2</v>
      </c>
      <c r="V132" s="1"/>
      <c r="W132" s="1"/>
      <c r="X132" s="1"/>
      <c r="Y132" s="1"/>
      <c r="Z132" s="1"/>
      <c r="AA132" s="1"/>
      <c r="AB132" s="5"/>
      <c r="AC132" s="4"/>
      <c r="AD132" s="3"/>
      <c r="AE132" s="2"/>
      <c r="AF132" s="1"/>
      <c r="AG132" s="45"/>
      <c r="AH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</row>
    <row r="133" spans="1:66" customFormat="1" x14ac:dyDescent="0.4">
      <c r="A133" s="1"/>
      <c r="B133" s="2"/>
      <c r="C133" s="3"/>
      <c r="D133" s="4"/>
      <c r="E133" s="5"/>
      <c r="F133" s="1"/>
      <c r="H133" s="63" t="s">
        <v>430</v>
      </c>
      <c r="I133" s="43">
        <v>121</v>
      </c>
      <c r="J133" s="43" t="s">
        <v>126</v>
      </c>
      <c r="K133" s="53">
        <f t="shared" si="4"/>
        <v>121</v>
      </c>
      <c r="L133" s="57">
        <f t="shared" si="5"/>
        <v>121</v>
      </c>
      <c r="M133" s="54" t="str">
        <f>CHAR(Table35[[#This Row],[Decimal]])</f>
        <v>y</v>
      </c>
      <c r="N133" s="1"/>
      <c r="O133" s="48">
        <f t="shared" si="6"/>
        <v>122</v>
      </c>
      <c r="P133" s="48" t="str" cm="1">
        <f t="array" ref="P133">CHAR(ROW(122:122))</f>
        <v>z</v>
      </c>
      <c r="R133" s="21">
        <v>122</v>
      </c>
      <c r="S133" s="59">
        <v>178</v>
      </c>
      <c r="T133" s="48" t="str">
        <v>²</v>
      </c>
      <c r="V133" s="1"/>
      <c r="W133" s="1"/>
      <c r="X133" s="1"/>
      <c r="Y133" s="1"/>
      <c r="Z133" s="1"/>
      <c r="AA133" s="1"/>
      <c r="AB133" s="5"/>
      <c r="AC133" s="4"/>
      <c r="AD133" s="3"/>
      <c r="AE133" s="2"/>
      <c r="AF133" s="1"/>
      <c r="AG133" s="45"/>
      <c r="AH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</row>
    <row r="134" spans="1:66" customFormat="1" x14ac:dyDescent="0.4">
      <c r="A134" s="1"/>
      <c r="B134" s="2"/>
      <c r="C134" s="3"/>
      <c r="D134" s="4"/>
      <c r="E134" s="5"/>
      <c r="F134" s="1"/>
      <c r="H134" s="63" t="s">
        <v>431</v>
      </c>
      <c r="I134" s="43">
        <v>122</v>
      </c>
      <c r="J134" s="43" t="s">
        <v>127</v>
      </c>
      <c r="K134" s="53">
        <f t="shared" si="4"/>
        <v>122</v>
      </c>
      <c r="L134" s="57">
        <f t="shared" si="5"/>
        <v>122</v>
      </c>
      <c r="M134" s="54" t="str">
        <f>CHAR(Table35[[#This Row],[Decimal]])</f>
        <v>z</v>
      </c>
      <c r="N134" s="1"/>
      <c r="O134" s="48">
        <f t="shared" si="6"/>
        <v>123</v>
      </c>
      <c r="P134" s="48" t="str" cm="1">
        <f t="array" ref="P134">CHAR(ROW(123:123))</f>
        <v>{</v>
      </c>
      <c r="R134" s="21">
        <v>123</v>
      </c>
      <c r="S134" s="59">
        <v>51</v>
      </c>
      <c r="T134" s="48" t="str">
        <v>3</v>
      </c>
      <c r="V134" s="1"/>
      <c r="W134" s="1"/>
      <c r="X134" s="1"/>
      <c r="Y134" s="1"/>
      <c r="Z134" s="1"/>
      <c r="AA134" s="1"/>
      <c r="AB134" s="5"/>
      <c r="AC134" s="4"/>
      <c r="AD134" s="3"/>
      <c r="AE134" s="2"/>
      <c r="AF134" s="1"/>
      <c r="AG134" s="45"/>
      <c r="AH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</row>
    <row r="135" spans="1:66" customFormat="1" x14ac:dyDescent="0.4">
      <c r="A135" s="1"/>
      <c r="B135" s="2"/>
      <c r="C135" s="3"/>
      <c r="D135" s="4"/>
      <c r="E135" s="5"/>
      <c r="F135" s="1"/>
      <c r="H135" s="63" t="s">
        <v>432</v>
      </c>
      <c r="I135" s="43">
        <v>123</v>
      </c>
      <c r="J135" s="43" t="s">
        <v>128</v>
      </c>
      <c r="K135" s="53">
        <f t="shared" si="4"/>
        <v>123</v>
      </c>
      <c r="L135" s="57">
        <f t="shared" si="5"/>
        <v>123</v>
      </c>
      <c r="M135" s="54" t="str">
        <f>CHAR(Table35[[#This Row],[Decimal]])</f>
        <v>{</v>
      </c>
      <c r="N135" s="1"/>
      <c r="O135" s="48">
        <f t="shared" si="6"/>
        <v>124</v>
      </c>
      <c r="P135" s="48" t="str" cm="1">
        <f t="array" ref="P135">CHAR(ROW(124:124))</f>
        <v>|</v>
      </c>
      <c r="R135" s="21">
        <v>124</v>
      </c>
      <c r="S135" s="59">
        <v>179</v>
      </c>
      <c r="T135" s="48" t="str">
        <v>³</v>
      </c>
      <c r="V135" s="1"/>
      <c r="W135" s="1"/>
      <c r="X135" s="1"/>
      <c r="Y135" s="1"/>
      <c r="Z135" s="1"/>
      <c r="AA135" s="1"/>
      <c r="AB135" s="5"/>
      <c r="AC135" s="4"/>
      <c r="AD135" s="3"/>
      <c r="AE135" s="2"/>
      <c r="AF135" s="1"/>
      <c r="AG135" s="45"/>
      <c r="AH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</row>
    <row r="136" spans="1:66" customFormat="1" x14ac:dyDescent="0.4">
      <c r="A136" s="1"/>
      <c r="B136" s="2"/>
      <c r="C136" s="3"/>
      <c r="D136" s="4"/>
      <c r="E136" s="5"/>
      <c r="F136" s="1"/>
      <c r="H136" s="63" t="s">
        <v>433</v>
      </c>
      <c r="I136" s="43">
        <v>124</v>
      </c>
      <c r="J136" s="43" t="s">
        <v>129</v>
      </c>
      <c r="K136" s="53">
        <f t="shared" si="4"/>
        <v>124</v>
      </c>
      <c r="L136" s="57">
        <f t="shared" si="5"/>
        <v>124</v>
      </c>
      <c r="M136" s="54" t="str">
        <f>CHAR(Table35[[#This Row],[Decimal]])</f>
        <v>|</v>
      </c>
      <c r="N136" s="1"/>
      <c r="O136" s="48">
        <f t="shared" si="6"/>
        <v>125</v>
      </c>
      <c r="P136" s="48" t="str" cm="1">
        <f t="array" ref="P136">CHAR(ROW(125:125))</f>
        <v>}</v>
      </c>
      <c r="R136" s="21">
        <v>125</v>
      </c>
      <c r="S136" s="59">
        <v>52</v>
      </c>
      <c r="T136" s="48" t="str">
        <v>4</v>
      </c>
      <c r="V136" s="1"/>
      <c r="W136" s="1"/>
      <c r="X136" s="1"/>
      <c r="Y136" s="1"/>
      <c r="Z136" s="1"/>
      <c r="AA136" s="1"/>
      <c r="AB136" s="5"/>
      <c r="AC136" s="4"/>
      <c r="AD136" s="3"/>
      <c r="AE136" s="2"/>
      <c r="AF136" s="1"/>
      <c r="AG136" s="45"/>
      <c r="AH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</row>
    <row r="137" spans="1:66" customFormat="1" x14ac:dyDescent="0.4">
      <c r="A137" s="1"/>
      <c r="B137" s="2"/>
      <c r="C137" s="3"/>
      <c r="D137" s="4"/>
      <c r="E137" s="5"/>
      <c r="F137" s="1"/>
      <c r="H137" s="63" t="s">
        <v>434</v>
      </c>
      <c r="I137" s="43">
        <v>125</v>
      </c>
      <c r="J137" s="43" t="s">
        <v>130</v>
      </c>
      <c r="K137" s="53">
        <f t="shared" si="4"/>
        <v>125</v>
      </c>
      <c r="L137" s="57">
        <f t="shared" si="5"/>
        <v>125</v>
      </c>
      <c r="M137" s="54" t="str">
        <f>CHAR(Table35[[#This Row],[Decimal]])</f>
        <v>}</v>
      </c>
      <c r="N137" s="1"/>
      <c r="O137" s="48">
        <f t="shared" si="6"/>
        <v>126</v>
      </c>
      <c r="P137" s="48" t="str" cm="1">
        <f t="array" ref="P137">CHAR(ROW(126:126))</f>
        <v>~</v>
      </c>
      <c r="R137" s="21">
        <v>126</v>
      </c>
      <c r="S137" s="59">
        <v>53</v>
      </c>
      <c r="T137" s="48" t="str">
        <v>5</v>
      </c>
      <c r="V137" s="1"/>
      <c r="W137" s="1"/>
      <c r="X137" s="1"/>
      <c r="Y137" s="1"/>
      <c r="Z137" s="1"/>
      <c r="AA137" s="1"/>
      <c r="AB137" s="5"/>
      <c r="AC137" s="4"/>
      <c r="AD137" s="3"/>
      <c r="AE137" s="2"/>
      <c r="AF137" s="1"/>
      <c r="AG137" s="45"/>
      <c r="AH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</row>
    <row r="138" spans="1:66" customFormat="1" x14ac:dyDescent="0.4">
      <c r="A138" s="1"/>
      <c r="B138" s="2"/>
      <c r="C138" s="3"/>
      <c r="D138" s="4"/>
      <c r="E138" s="5"/>
      <c r="F138" s="1"/>
      <c r="H138" s="63" t="s">
        <v>435</v>
      </c>
      <c r="I138" s="43">
        <v>126</v>
      </c>
      <c r="J138" s="43" t="s">
        <v>131</v>
      </c>
      <c r="K138" s="53">
        <f t="shared" si="4"/>
        <v>126</v>
      </c>
      <c r="L138" s="57">
        <f t="shared" si="5"/>
        <v>126</v>
      </c>
      <c r="M138" s="54" t="str">
        <f>CHAR(Table35[[#This Row],[Decimal]])</f>
        <v>~</v>
      </c>
      <c r="N138" s="1"/>
      <c r="O138" s="48">
        <f t="shared" si="6"/>
        <v>127</v>
      </c>
      <c r="P138" s="48" t="str" cm="1">
        <f t="array" ref="P138">CHAR(ROW(127:127))</f>
        <v></v>
      </c>
      <c r="R138" s="21">
        <v>127</v>
      </c>
      <c r="S138" s="59">
        <v>54</v>
      </c>
      <c r="T138" s="48" t="str">
        <v>6</v>
      </c>
      <c r="V138" s="1"/>
      <c r="W138" s="1"/>
      <c r="X138" s="1"/>
      <c r="Y138" s="1"/>
      <c r="Z138" s="1"/>
      <c r="AA138" s="1"/>
      <c r="AB138" s="5"/>
      <c r="AC138" s="4"/>
      <c r="AD138" s="3"/>
      <c r="AE138" s="2"/>
      <c r="AF138" s="1"/>
      <c r="AG138" s="45"/>
      <c r="AH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</row>
    <row r="139" spans="1:66" customFormat="1" x14ac:dyDescent="0.4">
      <c r="A139" s="1"/>
      <c r="B139" s="2"/>
      <c r="C139" s="3"/>
      <c r="D139" s="4"/>
      <c r="E139" s="5"/>
      <c r="F139" s="1"/>
      <c r="H139" s="63" t="s">
        <v>436</v>
      </c>
      <c r="I139" s="43">
        <v>127</v>
      </c>
      <c r="J139" s="49"/>
      <c r="K139" s="53" t="e">
        <f t="shared" si="4"/>
        <v>#VALUE!</v>
      </c>
      <c r="L139" s="57">
        <f t="shared" si="5"/>
        <v>127</v>
      </c>
      <c r="M139" s="54" t="str">
        <f>CHAR(Table35[[#This Row],[Decimal]])</f>
        <v></v>
      </c>
      <c r="N139" s="1"/>
      <c r="O139" s="48">
        <f t="shared" si="6"/>
        <v>128</v>
      </c>
      <c r="P139" s="48" t="str" cm="1">
        <f t="array" ref="P139">CHAR(ROW(128:128))</f>
        <v>€</v>
      </c>
      <c r="R139" s="21">
        <v>128</v>
      </c>
      <c r="S139" s="59">
        <v>55</v>
      </c>
      <c r="T139" s="48" t="str">
        <v>7</v>
      </c>
      <c r="V139" s="1"/>
      <c r="W139" s="1"/>
      <c r="X139" s="1"/>
      <c r="Y139" s="1"/>
      <c r="Z139" s="1"/>
      <c r="AA139" s="1"/>
      <c r="AB139" s="5"/>
      <c r="AC139" s="4"/>
      <c r="AD139" s="3"/>
      <c r="AE139" s="2"/>
      <c r="AF139" s="1"/>
      <c r="AG139" s="45"/>
      <c r="AH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</row>
    <row r="140" spans="1:66" customFormat="1" x14ac:dyDescent="0.4">
      <c r="A140" s="1"/>
      <c r="B140" s="2"/>
      <c r="C140" s="3"/>
      <c r="D140" s="4"/>
      <c r="E140" s="5"/>
      <c r="F140" s="1"/>
      <c r="H140" s="64" t="s">
        <v>437</v>
      </c>
      <c r="I140" s="43">
        <v>128</v>
      </c>
      <c r="J140" s="43" t="s">
        <v>132</v>
      </c>
      <c r="K140" s="53">
        <f t="shared" ref="K140:K203" si="7">CODE(J140)</f>
        <v>128</v>
      </c>
      <c r="L140" s="57">
        <f t="shared" ref="L140:L203" si="8">CODE(M140)</f>
        <v>128</v>
      </c>
      <c r="M140" s="54" t="str">
        <f>CHAR(Table35[[#This Row],[Decimal]])</f>
        <v>€</v>
      </c>
      <c r="N140" s="1"/>
      <c r="O140" s="48">
        <f t="shared" si="6"/>
        <v>129</v>
      </c>
      <c r="P140" s="48" t="str" cm="1">
        <f t="array" ref="P140">CHAR(ROW(129:129))</f>
        <v></v>
      </c>
      <c r="R140" s="21">
        <v>129</v>
      </c>
      <c r="S140" s="59">
        <v>56</v>
      </c>
      <c r="T140" s="48" t="str">
        <v>8</v>
      </c>
      <c r="V140" s="1"/>
      <c r="W140" s="1"/>
      <c r="X140" s="1"/>
      <c r="Y140" s="1"/>
      <c r="Z140" s="1"/>
      <c r="AA140" s="1"/>
      <c r="AB140" s="5"/>
      <c r="AC140" s="4"/>
      <c r="AD140" s="3"/>
      <c r="AE140" s="2"/>
      <c r="AF140" s="1"/>
      <c r="AG140" s="45"/>
      <c r="AH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</row>
    <row r="141" spans="1:66" customFormat="1" x14ac:dyDescent="0.4">
      <c r="A141" s="1"/>
      <c r="B141" s="2"/>
      <c r="C141" s="3"/>
      <c r="D141" s="4"/>
      <c r="E141" s="5"/>
      <c r="F141" s="1"/>
      <c r="H141" s="64"/>
      <c r="I141" s="43">
        <v>129</v>
      </c>
      <c r="J141" s="49"/>
      <c r="K141" s="53" t="e">
        <f t="shared" si="7"/>
        <v>#VALUE!</v>
      </c>
      <c r="L141" s="57">
        <f t="shared" si="8"/>
        <v>129</v>
      </c>
      <c r="M141" s="54" t="str">
        <f>CHAR(Table35[[#This Row],[Decimal]])</f>
        <v></v>
      </c>
      <c r="N141" s="1"/>
      <c r="O141" s="48">
        <f t="shared" ref="O141:O204" si="9">CODE(P141)</f>
        <v>130</v>
      </c>
      <c r="P141" s="48" t="str" cm="1">
        <f t="array" ref="P141">CHAR(ROW(130:130))</f>
        <v>‚</v>
      </c>
      <c r="R141" s="21">
        <v>130</v>
      </c>
      <c r="S141" s="59">
        <v>57</v>
      </c>
      <c r="T141" s="48" t="str">
        <v>9</v>
      </c>
      <c r="V141" s="1"/>
      <c r="W141" s="1"/>
      <c r="X141" s="1"/>
      <c r="Y141" s="1"/>
      <c r="Z141" s="1"/>
      <c r="AA141" s="1"/>
      <c r="AB141" s="5"/>
      <c r="AC141" s="4"/>
      <c r="AD141" s="3"/>
      <c r="AE141" s="2"/>
      <c r="AF141" s="1"/>
      <c r="AG141" s="45"/>
      <c r="AH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</row>
    <row r="142" spans="1:66" customFormat="1" x14ac:dyDescent="0.4">
      <c r="A142" s="1"/>
      <c r="B142" s="2"/>
      <c r="C142" s="3"/>
      <c r="D142" s="4"/>
      <c r="E142" s="5"/>
      <c r="F142" s="1"/>
      <c r="H142" s="64" t="s">
        <v>438</v>
      </c>
      <c r="I142" s="43">
        <v>130</v>
      </c>
      <c r="J142" s="43" t="s">
        <v>133</v>
      </c>
      <c r="K142" s="53">
        <f t="shared" si="7"/>
        <v>130</v>
      </c>
      <c r="L142" s="57">
        <f t="shared" si="8"/>
        <v>130</v>
      </c>
      <c r="M142" s="54" t="str">
        <f>CHAR(Table35[[#This Row],[Decimal]])</f>
        <v>‚</v>
      </c>
      <c r="N142" s="1"/>
      <c r="O142" s="48">
        <f t="shared" si="9"/>
        <v>131</v>
      </c>
      <c r="P142" s="48" t="str" cm="1">
        <f t="array" ref="P142">CHAR(ROW(131:131))</f>
        <v>ƒ</v>
      </c>
      <c r="R142" s="21">
        <v>131</v>
      </c>
      <c r="S142" s="59">
        <v>65</v>
      </c>
      <c r="T142" s="48" t="str">
        <v>A</v>
      </c>
      <c r="V142" s="1"/>
      <c r="W142" s="1"/>
      <c r="X142" s="1"/>
      <c r="Y142" s="1"/>
      <c r="Z142" s="1"/>
      <c r="AA142" s="1"/>
      <c r="AB142" s="5"/>
      <c r="AC142" s="4"/>
      <c r="AD142" s="3"/>
      <c r="AE142" s="2"/>
      <c r="AF142" s="1"/>
      <c r="AG142" s="45"/>
      <c r="AH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</row>
    <row r="143" spans="1:66" customFormat="1" x14ac:dyDescent="0.4">
      <c r="A143" s="1"/>
      <c r="B143" s="2"/>
      <c r="C143" s="3"/>
      <c r="D143" s="4"/>
      <c r="E143" s="5"/>
      <c r="F143" s="1"/>
      <c r="H143" s="64" t="s">
        <v>439</v>
      </c>
      <c r="I143" s="43">
        <v>131</v>
      </c>
      <c r="J143" s="43" t="s">
        <v>134</v>
      </c>
      <c r="K143" s="53">
        <f t="shared" si="7"/>
        <v>131</v>
      </c>
      <c r="L143" s="57">
        <f t="shared" si="8"/>
        <v>131</v>
      </c>
      <c r="M143" s="54" t="str">
        <f>CHAR(Table35[[#This Row],[Decimal]])</f>
        <v>ƒ</v>
      </c>
      <c r="N143" s="1"/>
      <c r="O143" s="48">
        <f t="shared" si="9"/>
        <v>132</v>
      </c>
      <c r="P143" s="48" t="str" cm="1">
        <f t="array" ref="P143">CHAR(ROW(132:132))</f>
        <v>„</v>
      </c>
      <c r="R143" s="21">
        <v>132</v>
      </c>
      <c r="S143" s="59">
        <v>97</v>
      </c>
      <c r="T143" s="48" t="str">
        <v>a</v>
      </c>
      <c r="V143" s="1"/>
      <c r="W143" s="1"/>
      <c r="X143" s="1"/>
      <c r="Y143" s="1"/>
      <c r="Z143" s="1"/>
      <c r="AA143" s="1"/>
      <c r="AB143" s="5"/>
      <c r="AC143" s="4"/>
      <c r="AD143" s="3"/>
      <c r="AE143" s="2"/>
      <c r="AF143" s="1"/>
      <c r="AG143" s="45"/>
      <c r="AH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</row>
    <row r="144" spans="1:66" customFormat="1" x14ac:dyDescent="0.4">
      <c r="A144" s="1"/>
      <c r="B144" s="2"/>
      <c r="C144" s="3"/>
      <c r="D144" s="4"/>
      <c r="E144" s="5"/>
      <c r="F144" s="1"/>
      <c r="H144" s="64" t="s">
        <v>440</v>
      </c>
      <c r="I144" s="43">
        <v>132</v>
      </c>
      <c r="J144" s="43" t="s">
        <v>135</v>
      </c>
      <c r="K144" s="53">
        <f t="shared" si="7"/>
        <v>132</v>
      </c>
      <c r="L144" s="57">
        <f t="shared" si="8"/>
        <v>132</v>
      </c>
      <c r="M144" s="54" t="str">
        <f>CHAR(Table35[[#This Row],[Decimal]])</f>
        <v>„</v>
      </c>
      <c r="N144" s="1"/>
      <c r="O144" s="48">
        <f t="shared" si="9"/>
        <v>133</v>
      </c>
      <c r="P144" s="48" t="str" cm="1">
        <f t="array" ref="P144">CHAR(ROW(133:133))</f>
        <v>…</v>
      </c>
      <c r="R144" s="21">
        <v>133</v>
      </c>
      <c r="S144" s="59">
        <v>170</v>
      </c>
      <c r="T144" s="48" t="str">
        <v>ª</v>
      </c>
      <c r="V144" s="1"/>
      <c r="W144" s="1"/>
      <c r="X144" s="1"/>
      <c r="Y144" s="1"/>
      <c r="Z144" s="1"/>
      <c r="AA144" s="1"/>
      <c r="AB144" s="5"/>
      <c r="AC144" s="4"/>
      <c r="AD144" s="3"/>
      <c r="AE144" s="2"/>
      <c r="AF144" s="1"/>
      <c r="AG144" s="45"/>
      <c r="AH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</row>
    <row r="145" spans="1:66" customFormat="1" x14ac:dyDescent="0.4">
      <c r="A145" s="1"/>
      <c r="B145" s="2"/>
      <c r="C145" s="3"/>
      <c r="D145" s="4"/>
      <c r="E145" s="5"/>
      <c r="F145" s="1"/>
      <c r="H145" s="64" t="s">
        <v>441</v>
      </c>
      <c r="I145" s="43">
        <v>133</v>
      </c>
      <c r="J145" s="43" t="s">
        <v>136</v>
      </c>
      <c r="K145" s="53">
        <f t="shared" si="7"/>
        <v>133</v>
      </c>
      <c r="L145" s="57">
        <f t="shared" si="8"/>
        <v>133</v>
      </c>
      <c r="M145" s="54" t="str">
        <f>CHAR(Table35[[#This Row],[Decimal]])</f>
        <v>…</v>
      </c>
      <c r="N145" s="1"/>
      <c r="O145" s="48">
        <f t="shared" si="9"/>
        <v>134</v>
      </c>
      <c r="P145" s="48" t="str" cm="1">
        <f t="array" ref="P145">CHAR(ROW(134:134))</f>
        <v>†</v>
      </c>
      <c r="R145" s="21">
        <v>134</v>
      </c>
      <c r="S145" s="59">
        <v>193</v>
      </c>
      <c r="T145" s="48" t="str">
        <v>Á</v>
      </c>
      <c r="V145" s="1"/>
      <c r="W145" s="1"/>
      <c r="X145" s="1"/>
      <c r="Y145" s="1"/>
      <c r="Z145" s="1"/>
      <c r="AA145" s="1"/>
      <c r="AB145" s="5"/>
      <c r="AC145" s="4"/>
      <c r="AD145" s="3"/>
      <c r="AE145" s="2"/>
      <c r="AF145" s="1"/>
      <c r="AG145" s="45"/>
      <c r="AH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</row>
    <row r="146" spans="1:66" customFormat="1" x14ac:dyDescent="0.4">
      <c r="A146" s="1"/>
      <c r="B146" s="2"/>
      <c r="C146" s="3"/>
      <c r="D146" s="4"/>
      <c r="E146" s="5"/>
      <c r="F146" s="1"/>
      <c r="H146" s="64" t="s">
        <v>442</v>
      </c>
      <c r="I146" s="43">
        <v>134</v>
      </c>
      <c r="J146" s="43" t="s">
        <v>137</v>
      </c>
      <c r="K146" s="53">
        <f t="shared" si="7"/>
        <v>134</v>
      </c>
      <c r="L146" s="57">
        <f t="shared" si="8"/>
        <v>134</v>
      </c>
      <c r="M146" s="54" t="str">
        <f>CHAR(Table35[[#This Row],[Decimal]])</f>
        <v>†</v>
      </c>
      <c r="N146" s="1"/>
      <c r="O146" s="48">
        <f t="shared" si="9"/>
        <v>135</v>
      </c>
      <c r="P146" s="48" t="str" cm="1">
        <f t="array" ref="P146">CHAR(ROW(135:135))</f>
        <v>‡</v>
      </c>
      <c r="R146" s="21">
        <v>135</v>
      </c>
      <c r="S146" s="59">
        <v>225</v>
      </c>
      <c r="T146" s="48" t="str">
        <v>á</v>
      </c>
      <c r="V146" s="1"/>
      <c r="W146" s="1"/>
      <c r="X146" s="1"/>
      <c r="Y146" s="1"/>
      <c r="Z146" s="1"/>
      <c r="AA146" s="1"/>
      <c r="AB146" s="5"/>
      <c r="AC146" s="4"/>
      <c r="AD146" s="3"/>
      <c r="AE146" s="2"/>
      <c r="AF146" s="1"/>
      <c r="AG146" s="45"/>
      <c r="AH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</row>
    <row r="147" spans="1:66" customFormat="1" x14ac:dyDescent="0.4">
      <c r="A147" s="1"/>
      <c r="B147" s="2"/>
      <c r="C147" s="3"/>
      <c r="D147" s="4"/>
      <c r="E147" s="5"/>
      <c r="F147" s="1"/>
      <c r="H147" s="64" t="s">
        <v>443</v>
      </c>
      <c r="I147" s="43">
        <v>135</v>
      </c>
      <c r="J147" s="43" t="s">
        <v>138</v>
      </c>
      <c r="K147" s="53">
        <f t="shared" si="7"/>
        <v>135</v>
      </c>
      <c r="L147" s="57">
        <f t="shared" si="8"/>
        <v>135</v>
      </c>
      <c r="M147" s="54" t="str">
        <f>CHAR(Table35[[#This Row],[Decimal]])</f>
        <v>‡</v>
      </c>
      <c r="N147" s="1"/>
      <c r="O147" s="48">
        <f t="shared" si="9"/>
        <v>136</v>
      </c>
      <c r="P147" s="48" t="str" cm="1">
        <f t="array" ref="P147">CHAR(ROW(136:136))</f>
        <v>ˆ</v>
      </c>
      <c r="R147" s="21">
        <v>136</v>
      </c>
      <c r="S147" s="59">
        <v>192</v>
      </c>
      <c r="T147" s="48" t="str">
        <v>À</v>
      </c>
      <c r="V147" s="1"/>
      <c r="W147" s="1"/>
      <c r="X147" s="1"/>
      <c r="Y147" s="1"/>
      <c r="Z147" s="1"/>
      <c r="AA147" s="1"/>
      <c r="AB147" s="5"/>
      <c r="AC147" s="4"/>
      <c r="AD147" s="3"/>
      <c r="AE147" s="2"/>
      <c r="AF147" s="1"/>
      <c r="AG147" s="45"/>
      <c r="AH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</row>
    <row r="148" spans="1:66" customFormat="1" x14ac:dyDescent="0.4">
      <c r="A148" s="1"/>
      <c r="B148" s="2"/>
      <c r="C148" s="3"/>
      <c r="D148" s="4"/>
      <c r="E148" s="5"/>
      <c r="F148" s="1"/>
      <c r="H148" s="64" t="s">
        <v>444</v>
      </c>
      <c r="I148" s="43">
        <v>136</v>
      </c>
      <c r="J148" s="43" t="s">
        <v>139</v>
      </c>
      <c r="K148" s="53">
        <f t="shared" si="7"/>
        <v>136</v>
      </c>
      <c r="L148" s="57">
        <f t="shared" si="8"/>
        <v>136</v>
      </c>
      <c r="M148" s="54" t="str">
        <f>CHAR(Table35[[#This Row],[Decimal]])</f>
        <v>ˆ</v>
      </c>
      <c r="N148" s="1"/>
      <c r="O148" s="48">
        <f t="shared" si="9"/>
        <v>137</v>
      </c>
      <c r="P148" s="48" t="str" cm="1">
        <f t="array" ref="P148">CHAR(ROW(137:137))</f>
        <v>‰</v>
      </c>
      <c r="R148" s="21">
        <v>137</v>
      </c>
      <c r="S148" s="59">
        <v>224</v>
      </c>
      <c r="T148" s="48" t="str">
        <v>à</v>
      </c>
      <c r="V148" s="1"/>
      <c r="W148" s="1"/>
      <c r="X148" s="1"/>
      <c r="Y148" s="1"/>
      <c r="Z148" s="1"/>
      <c r="AA148" s="1"/>
      <c r="AB148" s="5"/>
      <c r="AC148" s="4"/>
      <c r="AD148" s="3"/>
      <c r="AE148" s="2"/>
      <c r="AF148" s="1"/>
      <c r="AG148" s="45"/>
      <c r="AH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</row>
    <row r="149" spans="1:66" customFormat="1" x14ac:dyDescent="0.4">
      <c r="A149" s="1"/>
      <c r="B149" s="2"/>
      <c r="C149" s="3"/>
      <c r="D149" s="4"/>
      <c r="E149" s="5"/>
      <c r="F149" s="1"/>
      <c r="H149" s="64" t="s">
        <v>445</v>
      </c>
      <c r="I149" s="43">
        <v>137</v>
      </c>
      <c r="J149" s="43" t="s">
        <v>140</v>
      </c>
      <c r="K149" s="53">
        <f t="shared" si="7"/>
        <v>137</v>
      </c>
      <c r="L149" s="57">
        <f t="shared" si="8"/>
        <v>137</v>
      </c>
      <c r="M149" s="54" t="str">
        <f>CHAR(Table35[[#This Row],[Decimal]])</f>
        <v>‰</v>
      </c>
      <c r="N149" s="1"/>
      <c r="O149" s="48">
        <f t="shared" si="9"/>
        <v>138</v>
      </c>
      <c r="P149" s="48" t="str" cm="1">
        <f t="array" ref="P149">CHAR(ROW(138:138))</f>
        <v>Š</v>
      </c>
      <c r="R149" s="21">
        <v>138</v>
      </c>
      <c r="S149" s="59">
        <v>194</v>
      </c>
      <c r="T149" s="48" t="str">
        <v>Â</v>
      </c>
      <c r="V149" s="1"/>
      <c r="W149" s="1"/>
      <c r="X149" s="1"/>
      <c r="Y149" s="1"/>
      <c r="Z149" s="1"/>
      <c r="AA149" s="1"/>
      <c r="AB149" s="5"/>
      <c r="AC149" s="4"/>
      <c r="AD149" s="3"/>
      <c r="AE149" s="2"/>
      <c r="AF149" s="1"/>
      <c r="AG149" s="45"/>
      <c r="AH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</row>
    <row r="150" spans="1:66" customFormat="1" x14ac:dyDescent="0.4">
      <c r="A150" s="1"/>
      <c r="B150" s="2"/>
      <c r="C150" s="3"/>
      <c r="D150" s="4"/>
      <c r="E150" s="5"/>
      <c r="F150" s="1"/>
      <c r="H150" s="64" t="s">
        <v>446</v>
      </c>
      <c r="I150" s="43">
        <v>138</v>
      </c>
      <c r="J150" s="43" t="s">
        <v>141</v>
      </c>
      <c r="K150" s="53">
        <f t="shared" si="7"/>
        <v>138</v>
      </c>
      <c r="L150" s="57">
        <f t="shared" si="8"/>
        <v>138</v>
      </c>
      <c r="M150" s="54" t="str">
        <f>CHAR(Table35[[#This Row],[Decimal]])</f>
        <v>Š</v>
      </c>
      <c r="N150" s="1"/>
      <c r="O150" s="48">
        <f t="shared" si="9"/>
        <v>139</v>
      </c>
      <c r="P150" s="48" t="str" cm="1">
        <f t="array" ref="P150">CHAR(ROW(139:139))</f>
        <v>‹</v>
      </c>
      <c r="R150" s="21">
        <v>139</v>
      </c>
      <c r="S150" s="59">
        <v>226</v>
      </c>
      <c r="T150" s="48" t="str">
        <v>â</v>
      </c>
      <c r="V150" s="1"/>
      <c r="W150" s="1"/>
      <c r="X150" s="1"/>
      <c r="Y150" s="1"/>
      <c r="Z150" s="1"/>
      <c r="AA150" s="1"/>
      <c r="AB150" s="5"/>
      <c r="AC150" s="4"/>
      <c r="AD150" s="3"/>
      <c r="AE150" s="2"/>
      <c r="AF150" s="1"/>
      <c r="AG150" s="45"/>
      <c r="AH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</row>
    <row r="151" spans="1:66" customFormat="1" x14ac:dyDescent="0.4">
      <c r="A151" s="1"/>
      <c r="B151" s="2"/>
      <c r="C151" s="3"/>
      <c r="D151" s="4"/>
      <c r="E151" s="5"/>
      <c r="F151" s="1"/>
      <c r="H151" s="64" t="s">
        <v>447</v>
      </c>
      <c r="I151" s="43">
        <v>139</v>
      </c>
      <c r="J151" s="43" t="s">
        <v>142</v>
      </c>
      <c r="K151" s="53">
        <f t="shared" si="7"/>
        <v>139</v>
      </c>
      <c r="L151" s="57">
        <f t="shared" si="8"/>
        <v>139</v>
      </c>
      <c r="M151" s="54" t="str">
        <f>CHAR(Table35[[#This Row],[Decimal]])</f>
        <v>‹</v>
      </c>
      <c r="N151" s="1"/>
      <c r="O151" s="48">
        <f t="shared" si="9"/>
        <v>140</v>
      </c>
      <c r="P151" s="48" t="str" cm="1">
        <f t="array" ref="P151">CHAR(ROW(140:140))</f>
        <v>Œ</v>
      </c>
      <c r="R151" s="21">
        <v>140</v>
      </c>
      <c r="S151" s="59">
        <v>196</v>
      </c>
      <c r="T151" s="48" t="str">
        <v>Ä</v>
      </c>
      <c r="V151" s="1"/>
      <c r="W151" s="1"/>
      <c r="X151" s="1"/>
      <c r="Y151" s="1"/>
      <c r="Z151" s="1"/>
      <c r="AA151" s="1"/>
      <c r="AB151" s="5"/>
      <c r="AC151" s="4"/>
      <c r="AD151" s="3"/>
      <c r="AE151" s="2"/>
      <c r="AF151" s="1"/>
      <c r="AG151" s="45"/>
      <c r="AH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</row>
    <row r="152" spans="1:66" customFormat="1" x14ac:dyDescent="0.4">
      <c r="A152" s="1"/>
      <c r="B152" s="2"/>
      <c r="C152" s="3"/>
      <c r="D152" s="4"/>
      <c r="E152" s="5"/>
      <c r="F152" s="1"/>
      <c r="H152" s="64" t="s">
        <v>448</v>
      </c>
      <c r="I152" s="43">
        <v>140</v>
      </c>
      <c r="J152" s="43" t="s">
        <v>143</v>
      </c>
      <c r="K152" s="53">
        <f t="shared" si="7"/>
        <v>140</v>
      </c>
      <c r="L152" s="57">
        <f t="shared" si="8"/>
        <v>140</v>
      </c>
      <c r="M152" s="54" t="str">
        <f>CHAR(Table35[[#This Row],[Decimal]])</f>
        <v>Œ</v>
      </c>
      <c r="N152" s="1"/>
      <c r="O152" s="48">
        <f t="shared" si="9"/>
        <v>141</v>
      </c>
      <c r="P152" s="48" t="str" cm="1">
        <f t="array" ref="P152">CHAR(ROW(141:141))</f>
        <v></v>
      </c>
      <c r="R152" s="21">
        <v>141</v>
      </c>
      <c r="S152" s="59">
        <v>228</v>
      </c>
      <c r="T152" s="48" t="str">
        <v>ä</v>
      </c>
      <c r="V152" s="1"/>
      <c r="W152" s="1"/>
      <c r="X152" s="1"/>
      <c r="Y152" s="1"/>
      <c r="Z152" s="1"/>
      <c r="AA152" s="1"/>
      <c r="AB152" s="5"/>
      <c r="AC152" s="4"/>
      <c r="AD152" s="3"/>
      <c r="AE152" s="2"/>
      <c r="AF152" s="1"/>
      <c r="AG152" s="45"/>
      <c r="AH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</row>
    <row r="153" spans="1:66" customFormat="1" x14ac:dyDescent="0.4">
      <c r="A153" s="1"/>
      <c r="B153" s="2"/>
      <c r="C153" s="3"/>
      <c r="D153" s="4"/>
      <c r="E153" s="5"/>
      <c r="F153" s="1"/>
      <c r="H153" s="64"/>
      <c r="I153" s="43">
        <v>141</v>
      </c>
      <c r="J153" s="49"/>
      <c r="K153" s="53" t="e">
        <f t="shared" si="7"/>
        <v>#VALUE!</v>
      </c>
      <c r="L153" s="57">
        <f t="shared" si="8"/>
        <v>141</v>
      </c>
      <c r="M153" s="54" t="str">
        <f>CHAR(Table35[[#This Row],[Decimal]])</f>
        <v></v>
      </c>
      <c r="N153" s="1"/>
      <c r="O153" s="48">
        <f t="shared" si="9"/>
        <v>142</v>
      </c>
      <c r="P153" s="48" t="str" cm="1">
        <f t="array" ref="P153">CHAR(ROW(142:142))</f>
        <v>Ž</v>
      </c>
      <c r="R153" s="21">
        <v>142</v>
      </c>
      <c r="S153" s="59">
        <v>195</v>
      </c>
      <c r="T153" s="48" t="str">
        <v>Ã</v>
      </c>
      <c r="V153" s="1"/>
      <c r="W153" s="1"/>
      <c r="X153" s="1"/>
      <c r="Y153" s="1"/>
      <c r="Z153" s="1"/>
      <c r="AA153" s="1"/>
      <c r="AB153" s="5"/>
      <c r="AC153" s="4"/>
      <c r="AD153" s="3"/>
      <c r="AE153" s="2"/>
      <c r="AF153" s="1"/>
      <c r="AG153" s="45"/>
      <c r="AH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</row>
    <row r="154" spans="1:66" customFormat="1" x14ac:dyDescent="0.4">
      <c r="A154" s="1"/>
      <c r="B154" s="2"/>
      <c r="C154" s="3"/>
      <c r="D154" s="4"/>
      <c r="E154" s="5"/>
      <c r="F154" s="1"/>
      <c r="H154" s="64" t="s">
        <v>449</v>
      </c>
      <c r="I154" s="43">
        <v>142</v>
      </c>
      <c r="J154" s="43" t="s">
        <v>144</v>
      </c>
      <c r="K154" s="53">
        <f t="shared" si="7"/>
        <v>142</v>
      </c>
      <c r="L154" s="57">
        <f t="shared" si="8"/>
        <v>142</v>
      </c>
      <c r="M154" s="54" t="str">
        <f>CHAR(Table35[[#This Row],[Decimal]])</f>
        <v>Ž</v>
      </c>
      <c r="N154" s="1"/>
      <c r="O154" s="48">
        <f t="shared" si="9"/>
        <v>143</v>
      </c>
      <c r="P154" s="48" t="str" cm="1">
        <f t="array" ref="P154">CHAR(ROW(143:143))</f>
        <v></v>
      </c>
      <c r="R154" s="21">
        <v>143</v>
      </c>
      <c r="S154" s="59">
        <v>227</v>
      </c>
      <c r="T154" s="48" t="str">
        <v>ã</v>
      </c>
      <c r="V154" s="1"/>
      <c r="W154" s="1"/>
      <c r="X154" s="1"/>
      <c r="Y154" s="1"/>
      <c r="Z154" s="1"/>
      <c r="AA154" s="1"/>
      <c r="AB154" s="5"/>
      <c r="AC154" s="4"/>
      <c r="AD154" s="3"/>
      <c r="AE154" s="2"/>
      <c r="AF154" s="1"/>
      <c r="AG154" s="45"/>
      <c r="AH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</row>
    <row r="155" spans="1:66" customFormat="1" x14ac:dyDescent="0.4">
      <c r="A155" s="1"/>
      <c r="B155" s="2"/>
      <c r="C155" s="3"/>
      <c r="D155" s="4"/>
      <c r="E155" s="5"/>
      <c r="F155" s="1"/>
      <c r="H155" s="64"/>
      <c r="I155" s="43">
        <v>143</v>
      </c>
      <c r="J155" s="49"/>
      <c r="K155" s="53" t="e">
        <f t="shared" si="7"/>
        <v>#VALUE!</v>
      </c>
      <c r="L155" s="57">
        <f t="shared" si="8"/>
        <v>143</v>
      </c>
      <c r="M155" s="54" t="str">
        <f>CHAR(Table35[[#This Row],[Decimal]])</f>
        <v></v>
      </c>
      <c r="N155" s="1"/>
      <c r="O155" s="48">
        <f t="shared" si="9"/>
        <v>144</v>
      </c>
      <c r="P155" s="48" t="str" cm="1">
        <f t="array" ref="P155">CHAR(ROW(144:144))</f>
        <v></v>
      </c>
      <c r="R155" s="21">
        <v>144</v>
      </c>
      <c r="S155" s="59">
        <v>197</v>
      </c>
      <c r="T155" s="48" t="str">
        <v>Å</v>
      </c>
      <c r="V155" s="1"/>
      <c r="W155" s="1"/>
      <c r="X155" s="1"/>
      <c r="Y155" s="1"/>
      <c r="Z155" s="1"/>
      <c r="AA155" s="1"/>
      <c r="AB155" s="5"/>
      <c r="AC155" s="4"/>
      <c r="AD155" s="3"/>
      <c r="AE155" s="2"/>
      <c r="AF155" s="1"/>
      <c r="AG155" s="45"/>
      <c r="AH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</row>
    <row r="156" spans="1:66" customFormat="1" x14ac:dyDescent="0.4">
      <c r="A156" s="1"/>
      <c r="B156" s="2"/>
      <c r="C156" s="3"/>
      <c r="D156" s="4"/>
      <c r="E156" s="5"/>
      <c r="F156" s="1"/>
      <c r="H156" s="64"/>
      <c r="I156" s="43">
        <v>144</v>
      </c>
      <c r="J156" s="49"/>
      <c r="K156" s="53" t="e">
        <f t="shared" si="7"/>
        <v>#VALUE!</v>
      </c>
      <c r="L156" s="57">
        <f t="shared" si="8"/>
        <v>144</v>
      </c>
      <c r="M156" s="54" t="str">
        <f>CHAR(Table35[[#This Row],[Decimal]])</f>
        <v></v>
      </c>
      <c r="N156" s="1"/>
      <c r="O156" s="48">
        <f t="shared" si="9"/>
        <v>145</v>
      </c>
      <c r="P156" s="48" t="str" cm="1">
        <f t="array" ref="P156">CHAR(ROW(145:145))</f>
        <v>‘</v>
      </c>
      <c r="R156" s="21">
        <v>145</v>
      </c>
      <c r="S156" s="59">
        <v>229</v>
      </c>
      <c r="T156" s="48" t="str">
        <v>å</v>
      </c>
      <c r="V156" s="1"/>
      <c r="W156" s="1"/>
      <c r="X156" s="1"/>
      <c r="Y156" s="1"/>
      <c r="Z156" s="1"/>
      <c r="AA156" s="1"/>
      <c r="AB156" s="5"/>
      <c r="AC156" s="4"/>
      <c r="AD156" s="3"/>
      <c r="AE156" s="2"/>
      <c r="AF156" s="1"/>
      <c r="AG156" s="45"/>
      <c r="AH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</row>
    <row r="157" spans="1:66" customFormat="1" x14ac:dyDescent="0.4">
      <c r="A157" s="1"/>
      <c r="B157" s="2"/>
      <c r="C157" s="3"/>
      <c r="D157" s="4"/>
      <c r="E157" s="5"/>
      <c r="F157" s="1"/>
      <c r="H157" s="64" t="s">
        <v>450</v>
      </c>
      <c r="I157" s="43">
        <v>145</v>
      </c>
      <c r="J157" s="43" t="s">
        <v>145</v>
      </c>
      <c r="K157" s="53">
        <f t="shared" si="7"/>
        <v>145</v>
      </c>
      <c r="L157" s="57">
        <f t="shared" si="8"/>
        <v>145</v>
      </c>
      <c r="M157" s="54" t="str">
        <f>CHAR(Table35[[#This Row],[Decimal]])</f>
        <v>‘</v>
      </c>
      <c r="N157" s="1"/>
      <c r="O157" s="48">
        <f t="shared" si="9"/>
        <v>146</v>
      </c>
      <c r="P157" s="48" t="str" cm="1">
        <f t="array" ref="P157">CHAR(ROW(146:146))</f>
        <v>’</v>
      </c>
      <c r="R157" s="21">
        <v>146</v>
      </c>
      <c r="S157" s="59">
        <v>198</v>
      </c>
      <c r="T157" s="48" t="str">
        <v>Æ</v>
      </c>
      <c r="V157" s="1"/>
      <c r="W157" s="1"/>
      <c r="X157" s="1"/>
      <c r="Y157" s="1"/>
      <c r="Z157" s="1"/>
      <c r="AA157" s="1"/>
      <c r="AB157" s="5"/>
      <c r="AC157" s="4"/>
      <c r="AD157" s="3"/>
      <c r="AE157" s="2"/>
      <c r="AF157" s="1"/>
      <c r="AG157" s="45"/>
      <c r="AH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</row>
    <row r="158" spans="1:66" customFormat="1" x14ac:dyDescent="0.4">
      <c r="A158" s="1"/>
      <c r="B158" s="2"/>
      <c r="C158" s="3"/>
      <c r="D158" s="4"/>
      <c r="E158" s="5"/>
      <c r="F158" s="1"/>
      <c r="H158" s="64" t="s">
        <v>451</v>
      </c>
      <c r="I158" s="43">
        <v>146</v>
      </c>
      <c r="J158" s="43" t="s">
        <v>146</v>
      </c>
      <c r="K158" s="53">
        <f t="shared" si="7"/>
        <v>146</v>
      </c>
      <c r="L158" s="57">
        <f t="shared" si="8"/>
        <v>146</v>
      </c>
      <c r="M158" s="54" t="str">
        <f>CHAR(Table35[[#This Row],[Decimal]])</f>
        <v>’</v>
      </c>
      <c r="N158" s="1"/>
      <c r="O158" s="48">
        <f t="shared" si="9"/>
        <v>147</v>
      </c>
      <c r="P158" s="48" t="str" cm="1">
        <f t="array" ref="P158">CHAR(ROW(147:147))</f>
        <v>“</v>
      </c>
      <c r="R158" s="21">
        <v>147</v>
      </c>
      <c r="S158" s="59">
        <v>230</v>
      </c>
      <c r="T158" s="48" t="str">
        <v>æ</v>
      </c>
      <c r="V158" s="1"/>
      <c r="W158" s="1"/>
      <c r="X158" s="1"/>
      <c r="Y158" s="1"/>
      <c r="Z158" s="1"/>
      <c r="AA158" s="1"/>
      <c r="AB158" s="5"/>
      <c r="AC158" s="4"/>
      <c r="AD158" s="3"/>
      <c r="AE158" s="2"/>
      <c r="AF158" s="1"/>
      <c r="AG158" s="45"/>
      <c r="AH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</row>
    <row r="159" spans="1:66" customFormat="1" x14ac:dyDescent="0.4">
      <c r="A159" s="1"/>
      <c r="B159" s="2"/>
      <c r="C159" s="3"/>
      <c r="D159" s="4"/>
      <c r="E159" s="5"/>
      <c r="F159" s="1"/>
      <c r="H159" s="64" t="s">
        <v>452</v>
      </c>
      <c r="I159" s="43">
        <v>147</v>
      </c>
      <c r="J159" s="43" t="s">
        <v>147</v>
      </c>
      <c r="K159" s="53">
        <f t="shared" si="7"/>
        <v>147</v>
      </c>
      <c r="L159" s="57">
        <f t="shared" si="8"/>
        <v>147</v>
      </c>
      <c r="M159" s="54" t="str">
        <f>CHAR(Table35[[#This Row],[Decimal]])</f>
        <v>“</v>
      </c>
      <c r="N159" s="1"/>
      <c r="O159" s="48">
        <f t="shared" si="9"/>
        <v>148</v>
      </c>
      <c r="P159" s="48" t="str" cm="1">
        <f t="array" ref="P159">CHAR(ROW(148:148))</f>
        <v>”</v>
      </c>
      <c r="R159" s="21">
        <v>148</v>
      </c>
      <c r="S159" s="59">
        <v>66</v>
      </c>
      <c r="T159" s="48" t="str">
        <v>B</v>
      </c>
      <c r="V159" s="1"/>
      <c r="W159" s="1"/>
      <c r="X159" s="1"/>
      <c r="Y159" s="1"/>
      <c r="Z159" s="1"/>
      <c r="AA159" s="1"/>
      <c r="AB159" s="5"/>
      <c r="AC159" s="4"/>
      <c r="AD159" s="3"/>
      <c r="AE159" s="2"/>
      <c r="AF159" s="1"/>
      <c r="AG159" s="45"/>
      <c r="AH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</row>
    <row r="160" spans="1:66" customFormat="1" x14ac:dyDescent="0.4">
      <c r="A160" s="1"/>
      <c r="B160" s="2"/>
      <c r="C160" s="3"/>
      <c r="D160" s="4"/>
      <c r="E160" s="5"/>
      <c r="F160" s="1"/>
      <c r="H160" s="64" t="s">
        <v>453</v>
      </c>
      <c r="I160" s="43">
        <v>148</v>
      </c>
      <c r="J160" s="43" t="s">
        <v>148</v>
      </c>
      <c r="K160" s="53">
        <f t="shared" si="7"/>
        <v>148</v>
      </c>
      <c r="L160" s="57">
        <f t="shared" si="8"/>
        <v>148</v>
      </c>
      <c r="M160" s="54" t="str">
        <f>CHAR(Table35[[#This Row],[Decimal]])</f>
        <v>”</v>
      </c>
      <c r="N160" s="1"/>
      <c r="O160" s="48">
        <f t="shared" si="9"/>
        <v>149</v>
      </c>
      <c r="P160" s="48" t="str" cm="1">
        <f t="array" ref="P160">CHAR(ROW(149:149))</f>
        <v>•</v>
      </c>
      <c r="R160" s="21">
        <v>149</v>
      </c>
      <c r="S160" s="59">
        <v>98</v>
      </c>
      <c r="T160" s="48" t="str">
        <v>b</v>
      </c>
      <c r="V160" s="1"/>
      <c r="W160" s="1"/>
      <c r="X160" s="1"/>
      <c r="Y160" s="1"/>
      <c r="Z160" s="1"/>
      <c r="AA160" s="1"/>
      <c r="AB160" s="5"/>
      <c r="AC160" s="4"/>
      <c r="AD160" s="3"/>
      <c r="AE160" s="2"/>
      <c r="AF160" s="1"/>
      <c r="AG160" s="45"/>
      <c r="AH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</row>
    <row r="161" spans="1:66" customFormat="1" x14ac:dyDescent="0.4">
      <c r="A161" s="1"/>
      <c r="B161" s="2"/>
      <c r="C161" s="3"/>
      <c r="D161" s="4"/>
      <c r="E161" s="5"/>
      <c r="F161" s="1"/>
      <c r="H161" s="64" t="s">
        <v>454</v>
      </c>
      <c r="I161" s="43">
        <v>149</v>
      </c>
      <c r="J161" s="43" t="s">
        <v>149</v>
      </c>
      <c r="K161" s="53">
        <f t="shared" si="7"/>
        <v>149</v>
      </c>
      <c r="L161" s="57">
        <f t="shared" si="8"/>
        <v>149</v>
      </c>
      <c r="M161" s="54" t="str">
        <f>CHAR(Table35[[#This Row],[Decimal]])</f>
        <v>•</v>
      </c>
      <c r="N161" s="1"/>
      <c r="O161" s="48">
        <f t="shared" si="9"/>
        <v>150</v>
      </c>
      <c r="P161" s="48" t="str" cm="1">
        <f t="array" ref="P161">CHAR(ROW(150:150))</f>
        <v>–</v>
      </c>
      <c r="R161" s="21">
        <v>150</v>
      </c>
      <c r="S161" s="59">
        <v>67</v>
      </c>
      <c r="T161" s="48" t="str">
        <v>C</v>
      </c>
      <c r="V161" s="1"/>
      <c r="W161" s="1"/>
      <c r="X161" s="1"/>
      <c r="Y161" s="1"/>
      <c r="Z161" s="1"/>
      <c r="AA161" s="1"/>
      <c r="AB161" s="5"/>
      <c r="AC161" s="4"/>
      <c r="AD161" s="3"/>
      <c r="AE161" s="2"/>
      <c r="AF161" s="1"/>
      <c r="AG161" s="45"/>
      <c r="AH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</row>
    <row r="162" spans="1:66" customFormat="1" x14ac:dyDescent="0.4">
      <c r="A162" s="1"/>
      <c r="B162" s="2"/>
      <c r="C162" s="3"/>
      <c r="D162" s="4"/>
      <c r="E162" s="5"/>
      <c r="F162" s="1"/>
      <c r="H162" s="64" t="s">
        <v>455</v>
      </c>
      <c r="I162" s="43">
        <v>150</v>
      </c>
      <c r="J162" s="43" t="s">
        <v>150</v>
      </c>
      <c r="K162" s="53">
        <f t="shared" si="7"/>
        <v>150</v>
      </c>
      <c r="L162" s="57">
        <f t="shared" si="8"/>
        <v>150</v>
      </c>
      <c r="M162" s="54" t="str">
        <f>CHAR(Table35[[#This Row],[Decimal]])</f>
        <v>–</v>
      </c>
      <c r="N162" s="1"/>
      <c r="O162" s="48">
        <f t="shared" si="9"/>
        <v>151</v>
      </c>
      <c r="P162" s="48" t="str" cm="1">
        <f t="array" ref="P162">CHAR(ROW(151:151))</f>
        <v>—</v>
      </c>
      <c r="R162" s="21">
        <v>151</v>
      </c>
      <c r="S162" s="59">
        <v>99</v>
      </c>
      <c r="T162" s="48" t="str">
        <v>c</v>
      </c>
      <c r="V162" s="1"/>
      <c r="W162" s="1"/>
      <c r="X162" s="1"/>
      <c r="Y162" s="1"/>
      <c r="Z162" s="1"/>
      <c r="AA162" s="1"/>
      <c r="AB162" s="5"/>
      <c r="AC162" s="4"/>
      <c r="AD162" s="3"/>
      <c r="AE162" s="2"/>
      <c r="AF162" s="1"/>
      <c r="AG162" s="45"/>
      <c r="AH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</row>
    <row r="163" spans="1:66" customFormat="1" x14ac:dyDescent="0.4">
      <c r="A163" s="1"/>
      <c r="B163" s="2"/>
      <c r="C163" s="3"/>
      <c r="D163" s="4"/>
      <c r="E163" s="5"/>
      <c r="F163" s="1"/>
      <c r="H163" s="64" t="s">
        <v>456</v>
      </c>
      <c r="I163" s="43">
        <v>151</v>
      </c>
      <c r="J163" s="43" t="s">
        <v>151</v>
      </c>
      <c r="K163" s="53">
        <f t="shared" si="7"/>
        <v>151</v>
      </c>
      <c r="L163" s="57">
        <f t="shared" si="8"/>
        <v>151</v>
      </c>
      <c r="M163" s="54" t="str">
        <f>CHAR(Table35[[#This Row],[Decimal]])</f>
        <v>—</v>
      </c>
      <c r="N163" s="1"/>
      <c r="O163" s="48">
        <f t="shared" si="9"/>
        <v>152</v>
      </c>
      <c r="P163" s="48" t="str" cm="1">
        <f t="array" ref="P163">CHAR(ROW(152:152))</f>
        <v>˜</v>
      </c>
      <c r="R163" s="21">
        <v>152</v>
      </c>
      <c r="S163" s="59">
        <v>199</v>
      </c>
      <c r="T163" s="48" t="str">
        <v>Ç</v>
      </c>
      <c r="V163" s="1"/>
      <c r="W163" s="1"/>
      <c r="X163" s="1"/>
      <c r="Y163" s="1"/>
      <c r="Z163" s="1"/>
      <c r="AA163" s="1"/>
      <c r="AB163" s="5"/>
      <c r="AC163" s="4"/>
      <c r="AD163" s="3"/>
      <c r="AE163" s="2"/>
      <c r="AF163" s="1"/>
      <c r="AG163" s="45"/>
      <c r="AH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</row>
    <row r="164" spans="1:66" customFormat="1" x14ac:dyDescent="0.4">
      <c r="A164" s="1"/>
      <c r="B164" s="2"/>
      <c r="C164" s="3"/>
      <c r="D164" s="4"/>
      <c r="E164" s="5"/>
      <c r="F164" s="1"/>
      <c r="H164" s="64" t="s">
        <v>457</v>
      </c>
      <c r="I164" s="43">
        <v>152</v>
      </c>
      <c r="J164" s="43" t="s">
        <v>152</v>
      </c>
      <c r="K164" s="53">
        <f t="shared" si="7"/>
        <v>152</v>
      </c>
      <c r="L164" s="57">
        <f t="shared" si="8"/>
        <v>152</v>
      </c>
      <c r="M164" s="54" t="str">
        <f>CHAR(Table35[[#This Row],[Decimal]])</f>
        <v>˜</v>
      </c>
      <c r="N164" s="1"/>
      <c r="O164" s="48">
        <f t="shared" si="9"/>
        <v>153</v>
      </c>
      <c r="P164" s="48" t="str" cm="1">
        <f t="array" ref="P164">CHAR(ROW(153:153))</f>
        <v>™</v>
      </c>
      <c r="R164" s="21">
        <v>153</v>
      </c>
      <c r="S164" s="59">
        <v>231</v>
      </c>
      <c r="T164" s="48" t="str">
        <v>ç</v>
      </c>
      <c r="V164" s="1"/>
      <c r="W164" s="1"/>
      <c r="X164" s="1"/>
      <c r="Y164" s="1"/>
      <c r="Z164" s="1"/>
      <c r="AA164" s="1"/>
      <c r="AB164" s="5"/>
      <c r="AC164" s="4"/>
      <c r="AD164" s="3"/>
      <c r="AE164" s="2"/>
      <c r="AF164" s="1"/>
      <c r="AG164" s="45"/>
      <c r="AH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</row>
    <row r="165" spans="1:66" customFormat="1" x14ac:dyDescent="0.4">
      <c r="A165" s="1"/>
      <c r="B165" s="2"/>
      <c r="C165" s="3"/>
      <c r="D165" s="4"/>
      <c r="E165" s="5"/>
      <c r="F165" s="1"/>
      <c r="H165" s="64" t="s">
        <v>458</v>
      </c>
      <c r="I165" s="43">
        <v>153</v>
      </c>
      <c r="J165" s="43" t="s">
        <v>153</v>
      </c>
      <c r="K165" s="53">
        <f t="shared" si="7"/>
        <v>153</v>
      </c>
      <c r="L165" s="57">
        <f t="shared" si="8"/>
        <v>153</v>
      </c>
      <c r="M165" s="54" t="str">
        <f>CHAR(Table35[[#This Row],[Decimal]])</f>
        <v>™</v>
      </c>
      <c r="N165" s="1"/>
      <c r="O165" s="48">
        <f t="shared" si="9"/>
        <v>154</v>
      </c>
      <c r="P165" s="48" t="str" cm="1">
        <f t="array" ref="P165">CHAR(ROW(154:154))</f>
        <v>š</v>
      </c>
      <c r="R165" s="21">
        <v>154</v>
      </c>
      <c r="S165" s="59">
        <v>68</v>
      </c>
      <c r="T165" s="48" t="str">
        <v>D</v>
      </c>
      <c r="V165" s="1"/>
      <c r="W165" s="1"/>
      <c r="X165" s="1"/>
      <c r="Y165" s="1"/>
      <c r="Z165" s="1"/>
      <c r="AA165" s="1"/>
      <c r="AB165" s="5"/>
      <c r="AC165" s="4"/>
      <c r="AD165" s="3"/>
      <c r="AE165" s="2"/>
      <c r="AF165" s="1"/>
      <c r="AG165" s="45"/>
      <c r="AH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</row>
    <row r="166" spans="1:66" customFormat="1" x14ac:dyDescent="0.4">
      <c r="A166" s="1"/>
      <c r="B166" s="2"/>
      <c r="C166" s="3"/>
      <c r="D166" s="4"/>
      <c r="E166" s="5"/>
      <c r="F166" s="1"/>
      <c r="H166" s="64" t="s">
        <v>459</v>
      </c>
      <c r="I166" s="43">
        <v>154</v>
      </c>
      <c r="J166" s="43" t="s">
        <v>154</v>
      </c>
      <c r="K166" s="53">
        <f t="shared" si="7"/>
        <v>154</v>
      </c>
      <c r="L166" s="57">
        <f t="shared" si="8"/>
        <v>154</v>
      </c>
      <c r="M166" s="54" t="str">
        <f>CHAR(Table35[[#This Row],[Decimal]])</f>
        <v>š</v>
      </c>
      <c r="N166" s="1"/>
      <c r="O166" s="48">
        <f t="shared" si="9"/>
        <v>155</v>
      </c>
      <c r="P166" s="48" t="str" cm="1">
        <f t="array" ref="P166">CHAR(ROW(155:155))</f>
        <v>›</v>
      </c>
      <c r="R166" s="21">
        <v>155</v>
      </c>
      <c r="S166" s="59">
        <v>100</v>
      </c>
      <c r="T166" s="48" t="str">
        <v>d</v>
      </c>
      <c r="V166" s="1"/>
      <c r="W166" s="1"/>
      <c r="X166" s="1"/>
      <c r="Y166" s="1"/>
      <c r="Z166" s="1"/>
      <c r="AA166" s="1"/>
      <c r="AB166" s="5"/>
      <c r="AC166" s="4"/>
      <c r="AD166" s="3"/>
      <c r="AE166" s="2"/>
      <c r="AF166" s="1"/>
      <c r="AG166" s="45"/>
      <c r="AH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</row>
    <row r="167" spans="1:66" customFormat="1" x14ac:dyDescent="0.4">
      <c r="A167" s="1"/>
      <c r="B167" s="2"/>
      <c r="C167" s="3"/>
      <c r="D167" s="4"/>
      <c r="E167" s="5"/>
      <c r="F167" s="1"/>
      <c r="H167" s="64" t="s">
        <v>460</v>
      </c>
      <c r="I167" s="43">
        <v>155</v>
      </c>
      <c r="J167" s="43" t="s">
        <v>155</v>
      </c>
      <c r="K167" s="53">
        <f t="shared" si="7"/>
        <v>155</v>
      </c>
      <c r="L167" s="57">
        <f t="shared" si="8"/>
        <v>155</v>
      </c>
      <c r="M167" s="54" t="str">
        <f>CHAR(Table35[[#This Row],[Decimal]])</f>
        <v>›</v>
      </c>
      <c r="N167" s="1"/>
      <c r="O167" s="48">
        <f t="shared" si="9"/>
        <v>156</v>
      </c>
      <c r="P167" s="48" t="str" cm="1">
        <f t="array" ref="P167">CHAR(ROW(156:156))</f>
        <v>œ</v>
      </c>
      <c r="R167" s="21">
        <v>156</v>
      </c>
      <c r="S167" s="59">
        <v>208</v>
      </c>
      <c r="T167" s="48" t="str">
        <v>Ð</v>
      </c>
      <c r="V167" s="1"/>
      <c r="W167" s="1"/>
      <c r="X167" s="1"/>
      <c r="Y167" s="1"/>
      <c r="Z167" s="1"/>
      <c r="AA167" s="1"/>
      <c r="AB167" s="5"/>
      <c r="AC167" s="4"/>
      <c r="AD167" s="3"/>
      <c r="AE167" s="2"/>
      <c r="AF167" s="1"/>
      <c r="AG167" s="45"/>
      <c r="AH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</row>
    <row r="168" spans="1:66" customFormat="1" x14ac:dyDescent="0.4">
      <c r="A168" s="1"/>
      <c r="B168" s="2"/>
      <c r="C168" s="3"/>
      <c r="D168" s="4"/>
      <c r="E168" s="5"/>
      <c r="F168" s="1"/>
      <c r="H168" s="64" t="s">
        <v>461</v>
      </c>
      <c r="I168" s="43">
        <v>156</v>
      </c>
      <c r="J168" s="43" t="s">
        <v>156</v>
      </c>
      <c r="K168" s="53">
        <f t="shared" si="7"/>
        <v>156</v>
      </c>
      <c r="L168" s="57">
        <f t="shared" si="8"/>
        <v>156</v>
      </c>
      <c r="M168" s="54" t="str">
        <f>CHAR(Table35[[#This Row],[Decimal]])</f>
        <v>œ</v>
      </c>
      <c r="N168" s="1"/>
      <c r="O168" s="48">
        <f t="shared" si="9"/>
        <v>157</v>
      </c>
      <c r="P168" s="48" t="str" cm="1">
        <f t="array" ref="P168">CHAR(ROW(157:157))</f>
        <v></v>
      </c>
      <c r="R168" s="21">
        <v>157</v>
      </c>
      <c r="S168" s="59">
        <v>240</v>
      </c>
      <c r="T168" s="48" t="str">
        <v>ð</v>
      </c>
      <c r="V168" s="1"/>
      <c r="W168" s="1"/>
      <c r="X168" s="1"/>
      <c r="Y168" s="1"/>
      <c r="Z168" s="1"/>
      <c r="AA168" s="1"/>
      <c r="AB168" s="5"/>
      <c r="AC168" s="4"/>
      <c r="AD168" s="3"/>
      <c r="AE168" s="2"/>
      <c r="AF168" s="1"/>
      <c r="AG168" s="45"/>
      <c r="AH168" s="1"/>
      <c r="AJ168" s="40"/>
      <c r="AK168" s="40"/>
      <c r="AL168" s="40"/>
      <c r="AM168" s="40"/>
      <c r="AN168" s="40"/>
      <c r="AO168" s="40"/>
      <c r="AP168" s="40"/>
      <c r="AQ168" s="56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</row>
    <row r="169" spans="1:66" customFormat="1" x14ac:dyDescent="0.4">
      <c r="A169" s="1"/>
      <c r="B169" s="2"/>
      <c r="C169" s="3"/>
      <c r="D169" s="4"/>
      <c r="E169" s="5"/>
      <c r="F169" s="1"/>
      <c r="H169" s="64"/>
      <c r="I169" s="43">
        <v>157</v>
      </c>
      <c r="J169" s="49"/>
      <c r="K169" s="53" t="e">
        <f t="shared" si="7"/>
        <v>#VALUE!</v>
      </c>
      <c r="L169" s="57">
        <f t="shared" si="8"/>
        <v>157</v>
      </c>
      <c r="M169" s="54" t="str">
        <f>CHAR(Table35[[#This Row],[Decimal]])</f>
        <v></v>
      </c>
      <c r="N169" s="1"/>
      <c r="O169" s="48">
        <f t="shared" si="9"/>
        <v>158</v>
      </c>
      <c r="P169" s="48" t="str" cm="1">
        <f t="array" ref="P169">CHAR(ROW(158:158))</f>
        <v>ž</v>
      </c>
      <c r="R169" s="21">
        <v>158</v>
      </c>
      <c r="S169" s="59">
        <v>69</v>
      </c>
      <c r="T169" s="48" t="str">
        <v>E</v>
      </c>
      <c r="V169" s="1"/>
      <c r="W169" s="1"/>
      <c r="X169" s="1"/>
      <c r="Y169" s="1"/>
      <c r="Z169" s="1"/>
      <c r="AA169" s="1"/>
      <c r="AB169" s="5"/>
      <c r="AC169" s="4"/>
      <c r="AD169" s="3"/>
      <c r="AE169" s="2"/>
      <c r="AF169" s="1"/>
      <c r="AG169" s="45"/>
      <c r="AH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</row>
    <row r="170" spans="1:66" customFormat="1" x14ac:dyDescent="0.4">
      <c r="A170" s="1"/>
      <c r="B170" s="2"/>
      <c r="C170" s="3"/>
      <c r="D170" s="4"/>
      <c r="E170" s="5"/>
      <c r="F170" s="1"/>
      <c r="H170" s="64" t="s">
        <v>462</v>
      </c>
      <c r="I170" s="43">
        <v>158</v>
      </c>
      <c r="J170" s="43" t="s">
        <v>157</v>
      </c>
      <c r="K170" s="53">
        <f t="shared" si="7"/>
        <v>158</v>
      </c>
      <c r="L170" s="57">
        <f t="shared" si="8"/>
        <v>158</v>
      </c>
      <c r="M170" s="54" t="str">
        <f>CHAR(Table35[[#This Row],[Decimal]])</f>
        <v>ž</v>
      </c>
      <c r="N170" s="1"/>
      <c r="O170" s="48">
        <f t="shared" si="9"/>
        <v>159</v>
      </c>
      <c r="P170" s="48" t="str" cm="1">
        <f t="array" ref="P170">CHAR(ROW(159:159))</f>
        <v>Ÿ</v>
      </c>
      <c r="R170" s="21">
        <v>159</v>
      </c>
      <c r="S170" s="59">
        <v>101</v>
      </c>
      <c r="T170" s="48" t="str">
        <v>e</v>
      </c>
      <c r="V170" s="1"/>
      <c r="W170" s="1"/>
      <c r="X170" s="1"/>
      <c r="Y170" s="1"/>
      <c r="Z170" s="1"/>
      <c r="AA170" s="1"/>
      <c r="AB170" s="5"/>
      <c r="AC170" s="4"/>
      <c r="AD170" s="3"/>
      <c r="AE170" s="2"/>
      <c r="AF170" s="1"/>
      <c r="AG170" s="45"/>
      <c r="AH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</row>
    <row r="171" spans="1:66" customFormat="1" x14ac:dyDescent="0.4">
      <c r="A171" s="1"/>
      <c r="B171" s="2"/>
      <c r="C171" s="3"/>
      <c r="D171" s="4"/>
      <c r="E171" s="5"/>
      <c r="F171" s="1"/>
      <c r="H171" s="64" t="s">
        <v>463</v>
      </c>
      <c r="I171" s="43">
        <v>159</v>
      </c>
      <c r="J171" s="43" t="s">
        <v>158</v>
      </c>
      <c r="K171" s="53">
        <f t="shared" si="7"/>
        <v>159</v>
      </c>
      <c r="L171" s="57">
        <f t="shared" si="8"/>
        <v>159</v>
      </c>
      <c r="M171" s="54" t="str">
        <f>CHAR(Table35[[#This Row],[Decimal]])</f>
        <v>Ÿ</v>
      </c>
      <c r="N171" s="1"/>
      <c r="O171" s="48">
        <f t="shared" si="9"/>
        <v>160</v>
      </c>
      <c r="P171" s="48" t="str" cm="1">
        <f t="array" ref="P171">CHAR(ROW(160:160))</f>
        <v> </v>
      </c>
      <c r="R171" s="21">
        <v>160</v>
      </c>
      <c r="S171" s="59">
        <v>201</v>
      </c>
      <c r="T171" s="48" t="str">
        <v>É</v>
      </c>
      <c r="V171" s="1"/>
      <c r="W171" s="1"/>
      <c r="X171" s="1"/>
      <c r="Y171" s="1"/>
      <c r="Z171" s="1"/>
      <c r="AA171" s="1"/>
      <c r="AB171" s="5"/>
      <c r="AC171" s="4"/>
      <c r="AD171" s="3"/>
      <c r="AE171" s="2"/>
      <c r="AF171" s="1"/>
      <c r="AG171" s="45"/>
      <c r="AH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</row>
    <row r="172" spans="1:66" customFormat="1" x14ac:dyDescent="0.4">
      <c r="A172" s="1"/>
      <c r="B172" s="2"/>
      <c r="C172" s="3"/>
      <c r="D172" s="4"/>
      <c r="E172" s="5"/>
      <c r="F172" s="1"/>
      <c r="G172" s="58"/>
      <c r="H172" s="64" t="s">
        <v>464</v>
      </c>
      <c r="I172" s="43">
        <v>160</v>
      </c>
      <c r="J172" s="58"/>
      <c r="K172" s="53" t="e">
        <f t="shared" si="7"/>
        <v>#VALUE!</v>
      </c>
      <c r="L172" s="57">
        <f t="shared" si="8"/>
        <v>160</v>
      </c>
      <c r="M172" s="54" t="str">
        <f>CHAR(Table35[[#This Row],[Decimal]])</f>
        <v> </v>
      </c>
      <c r="N172" s="1"/>
      <c r="O172" s="48">
        <f t="shared" si="9"/>
        <v>161</v>
      </c>
      <c r="P172" s="48" t="str" cm="1">
        <f t="array" ref="P172">CHAR(ROW(161:161))</f>
        <v>¡</v>
      </c>
      <c r="R172" s="21">
        <v>161</v>
      </c>
      <c r="S172" s="59">
        <v>233</v>
      </c>
      <c r="T172" s="48" t="str">
        <v>é</v>
      </c>
      <c r="V172" s="1"/>
      <c r="W172" s="1"/>
      <c r="X172" s="1"/>
      <c r="Y172" s="1"/>
      <c r="Z172" s="1"/>
      <c r="AA172" s="1"/>
      <c r="AB172" s="5"/>
      <c r="AC172" s="4"/>
      <c r="AD172" s="3"/>
      <c r="AE172" s="2"/>
      <c r="AF172" s="1"/>
      <c r="AG172" s="45"/>
      <c r="AH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</row>
    <row r="173" spans="1:66" customFormat="1" x14ac:dyDescent="0.4">
      <c r="A173" s="1"/>
      <c r="B173" s="2"/>
      <c r="C173" s="3"/>
      <c r="D173" s="4"/>
      <c r="E173" s="5"/>
      <c r="F173" s="1"/>
      <c r="H173" s="64" t="s">
        <v>465</v>
      </c>
      <c r="I173" s="43">
        <v>161</v>
      </c>
      <c r="J173" s="43" t="s">
        <v>159</v>
      </c>
      <c r="K173" s="53">
        <f t="shared" si="7"/>
        <v>161</v>
      </c>
      <c r="L173" s="57">
        <f t="shared" si="8"/>
        <v>161</v>
      </c>
      <c r="M173" s="54" t="str">
        <f>CHAR(Table35[[#This Row],[Decimal]])</f>
        <v>¡</v>
      </c>
      <c r="N173" s="1"/>
      <c r="O173" s="48">
        <f t="shared" si="9"/>
        <v>162</v>
      </c>
      <c r="P173" s="48" t="str" cm="1">
        <f t="array" ref="P173">CHAR(ROW(162:162))</f>
        <v>¢</v>
      </c>
      <c r="R173" s="21">
        <v>162</v>
      </c>
      <c r="S173" s="59">
        <v>200</v>
      </c>
      <c r="T173" s="48" t="str">
        <v>È</v>
      </c>
      <c r="V173" s="1"/>
      <c r="W173" s="1"/>
      <c r="X173" s="1"/>
      <c r="Y173" s="1"/>
      <c r="Z173" s="1"/>
      <c r="AA173" s="1"/>
      <c r="AB173" s="5"/>
      <c r="AC173" s="4"/>
      <c r="AD173" s="3"/>
      <c r="AE173" s="2"/>
      <c r="AF173" s="1"/>
      <c r="AG173" s="45"/>
      <c r="AH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</row>
    <row r="174" spans="1:66" customFormat="1" x14ac:dyDescent="0.4">
      <c r="A174" s="1"/>
      <c r="B174" s="2"/>
      <c r="C174" s="3"/>
      <c r="D174" s="4"/>
      <c r="E174" s="5"/>
      <c r="F174" s="1"/>
      <c r="H174" s="64" t="s">
        <v>466</v>
      </c>
      <c r="I174" s="43">
        <v>162</v>
      </c>
      <c r="J174" s="43" t="s">
        <v>160</v>
      </c>
      <c r="K174" s="53">
        <f t="shared" si="7"/>
        <v>162</v>
      </c>
      <c r="L174" s="57">
        <f t="shared" si="8"/>
        <v>162</v>
      </c>
      <c r="M174" s="54" t="str">
        <f>CHAR(Table35[[#This Row],[Decimal]])</f>
        <v>¢</v>
      </c>
      <c r="N174" s="1"/>
      <c r="O174" s="48">
        <f t="shared" si="9"/>
        <v>163</v>
      </c>
      <c r="P174" s="48" t="str" cm="1">
        <f t="array" ref="P174">CHAR(ROW(163:163))</f>
        <v>£</v>
      </c>
      <c r="R174" s="21">
        <v>163</v>
      </c>
      <c r="S174" s="59">
        <v>232</v>
      </c>
      <c r="T174" s="48" t="str">
        <v>è</v>
      </c>
      <c r="V174" s="1"/>
      <c r="W174" s="1"/>
      <c r="X174" s="1"/>
      <c r="Y174" s="1"/>
      <c r="Z174" s="1"/>
      <c r="AA174" s="1"/>
      <c r="AB174" s="5"/>
      <c r="AC174" s="4"/>
      <c r="AD174" s="3"/>
      <c r="AE174" s="2"/>
      <c r="AF174" s="1"/>
      <c r="AG174" s="45"/>
      <c r="AH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</row>
    <row r="175" spans="1:66" customFormat="1" x14ac:dyDescent="0.4">
      <c r="A175" s="1"/>
      <c r="B175" s="2"/>
      <c r="C175" s="3"/>
      <c r="D175" s="4"/>
      <c r="E175" s="5"/>
      <c r="F175" s="1"/>
      <c r="H175" s="64" t="s">
        <v>467</v>
      </c>
      <c r="I175" s="43">
        <v>163</v>
      </c>
      <c r="J175" s="43" t="s">
        <v>161</v>
      </c>
      <c r="K175" s="53">
        <f t="shared" si="7"/>
        <v>163</v>
      </c>
      <c r="L175" s="57">
        <f t="shared" si="8"/>
        <v>163</v>
      </c>
      <c r="M175" s="54" t="str">
        <f>CHAR(Table35[[#This Row],[Decimal]])</f>
        <v>£</v>
      </c>
      <c r="N175" s="1"/>
      <c r="O175" s="48">
        <f t="shared" si="9"/>
        <v>164</v>
      </c>
      <c r="P175" s="48" t="str" cm="1">
        <f t="array" ref="P175">CHAR(ROW(164:164))</f>
        <v>¤</v>
      </c>
      <c r="R175" s="21">
        <v>164</v>
      </c>
      <c r="S175" s="59">
        <v>202</v>
      </c>
      <c r="T175" s="48" t="str">
        <v>Ê</v>
      </c>
      <c r="V175" s="1"/>
      <c r="W175" s="1"/>
      <c r="X175" s="1"/>
      <c r="Y175" s="1"/>
      <c r="Z175" s="1"/>
      <c r="AA175" s="1"/>
      <c r="AB175" s="5"/>
      <c r="AC175" s="4"/>
      <c r="AD175" s="3"/>
      <c r="AE175" s="2"/>
      <c r="AF175" s="1"/>
      <c r="AG175" s="45"/>
      <c r="AH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</row>
    <row r="176" spans="1:66" customFormat="1" x14ac:dyDescent="0.4">
      <c r="A176" s="1"/>
      <c r="B176" s="2"/>
      <c r="C176" s="3"/>
      <c r="D176" s="4"/>
      <c r="E176" s="5"/>
      <c r="F176" s="1"/>
      <c r="H176" s="64" t="s">
        <v>468</v>
      </c>
      <c r="I176" s="43">
        <v>164</v>
      </c>
      <c r="J176" s="43" t="s">
        <v>162</v>
      </c>
      <c r="K176" s="53">
        <f t="shared" si="7"/>
        <v>164</v>
      </c>
      <c r="L176" s="57">
        <f t="shared" si="8"/>
        <v>164</v>
      </c>
      <c r="M176" s="54" t="str">
        <f>CHAR(Table35[[#This Row],[Decimal]])</f>
        <v>¤</v>
      </c>
      <c r="N176" s="1"/>
      <c r="O176" s="48">
        <f t="shared" si="9"/>
        <v>165</v>
      </c>
      <c r="P176" s="48" t="str" cm="1">
        <f t="array" ref="P176">CHAR(ROW(165:165))</f>
        <v>¥</v>
      </c>
      <c r="R176" s="21">
        <v>165</v>
      </c>
      <c r="S176" s="59">
        <v>234</v>
      </c>
      <c r="T176" s="48" t="str">
        <v>ê</v>
      </c>
      <c r="V176" s="1"/>
      <c r="W176" s="1"/>
      <c r="X176" s="1"/>
      <c r="Y176" s="1"/>
      <c r="Z176" s="1"/>
      <c r="AA176" s="1"/>
      <c r="AB176" s="5"/>
      <c r="AC176" s="4"/>
      <c r="AD176" s="3"/>
      <c r="AE176" s="2"/>
      <c r="AF176" s="1"/>
      <c r="AG176" s="45"/>
      <c r="AH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</row>
    <row r="177" spans="1:66" customFormat="1" x14ac:dyDescent="0.4">
      <c r="A177" s="1"/>
      <c r="B177" s="2"/>
      <c r="C177" s="3"/>
      <c r="D177" s="4"/>
      <c r="E177" s="5"/>
      <c r="F177" s="1"/>
      <c r="H177" s="64" t="s">
        <v>469</v>
      </c>
      <c r="I177" s="43">
        <v>165</v>
      </c>
      <c r="J177" s="43" t="s">
        <v>163</v>
      </c>
      <c r="K177" s="53">
        <f t="shared" si="7"/>
        <v>165</v>
      </c>
      <c r="L177" s="57">
        <f t="shared" si="8"/>
        <v>165</v>
      </c>
      <c r="M177" s="54" t="str">
        <f>CHAR(Table35[[#This Row],[Decimal]])</f>
        <v>¥</v>
      </c>
      <c r="N177" s="1"/>
      <c r="O177" s="48">
        <f t="shared" si="9"/>
        <v>166</v>
      </c>
      <c r="P177" s="48" t="str" cm="1">
        <f t="array" ref="P177">CHAR(ROW(166:166))</f>
        <v>¦</v>
      </c>
      <c r="R177" s="21">
        <v>166</v>
      </c>
      <c r="S177" s="59">
        <v>203</v>
      </c>
      <c r="T177" s="48" t="str">
        <v>Ë</v>
      </c>
      <c r="V177" s="1"/>
      <c r="W177" s="1"/>
      <c r="X177" s="1"/>
      <c r="Y177" s="1"/>
      <c r="Z177" s="1"/>
      <c r="AA177" s="1"/>
      <c r="AB177" s="5"/>
      <c r="AC177" s="4"/>
      <c r="AD177" s="3"/>
      <c r="AE177" s="2"/>
      <c r="AF177" s="1"/>
      <c r="AG177" s="45"/>
      <c r="AH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</row>
    <row r="178" spans="1:66" customFormat="1" x14ac:dyDescent="0.4">
      <c r="A178" s="1"/>
      <c r="B178" s="2"/>
      <c r="C178" s="3"/>
      <c r="D178" s="4"/>
      <c r="E178" s="5"/>
      <c r="F178" s="1"/>
      <c r="H178" s="64" t="s">
        <v>470</v>
      </c>
      <c r="I178" s="43">
        <v>166</v>
      </c>
      <c r="J178" s="43" t="s">
        <v>164</v>
      </c>
      <c r="K178" s="53">
        <f t="shared" si="7"/>
        <v>166</v>
      </c>
      <c r="L178" s="57">
        <f t="shared" si="8"/>
        <v>166</v>
      </c>
      <c r="M178" s="54" t="str">
        <f>CHAR(Table35[[#This Row],[Decimal]])</f>
        <v>¦</v>
      </c>
      <c r="N178" s="1"/>
      <c r="O178" s="48">
        <f t="shared" si="9"/>
        <v>167</v>
      </c>
      <c r="P178" s="48" t="str" cm="1">
        <f t="array" ref="P178">CHAR(ROW(167:167))</f>
        <v>§</v>
      </c>
      <c r="R178" s="21">
        <v>167</v>
      </c>
      <c r="S178" s="59">
        <v>235</v>
      </c>
      <c r="T178" s="48" t="str">
        <v>ë</v>
      </c>
      <c r="V178" s="1"/>
      <c r="W178" s="1"/>
      <c r="X178" s="1"/>
      <c r="Y178" s="1"/>
      <c r="Z178" s="1"/>
      <c r="AA178" s="1"/>
      <c r="AB178" s="5"/>
      <c r="AC178" s="4"/>
      <c r="AD178" s="3"/>
      <c r="AE178" s="2"/>
      <c r="AF178" s="1"/>
      <c r="AG178" s="45"/>
      <c r="AH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</row>
    <row r="179" spans="1:66" customFormat="1" x14ac:dyDescent="0.4">
      <c r="A179" s="1"/>
      <c r="B179" s="2"/>
      <c r="C179" s="3"/>
      <c r="D179" s="4"/>
      <c r="E179" s="5"/>
      <c r="F179" s="1"/>
      <c r="H179" s="64" t="s">
        <v>471</v>
      </c>
      <c r="I179" s="43">
        <v>167</v>
      </c>
      <c r="J179" s="43" t="s">
        <v>165</v>
      </c>
      <c r="K179" s="53">
        <f t="shared" si="7"/>
        <v>167</v>
      </c>
      <c r="L179" s="57">
        <f t="shared" si="8"/>
        <v>167</v>
      </c>
      <c r="M179" s="54" t="str">
        <f>CHAR(Table35[[#This Row],[Decimal]])</f>
        <v>§</v>
      </c>
      <c r="N179" s="1"/>
      <c r="O179" s="48">
        <f t="shared" si="9"/>
        <v>168</v>
      </c>
      <c r="P179" s="48" t="str" cm="1">
        <f t="array" ref="P179">CHAR(ROW(168:168))</f>
        <v>¨</v>
      </c>
      <c r="R179" s="21">
        <v>168</v>
      </c>
      <c r="S179" s="59">
        <v>70</v>
      </c>
      <c r="T179" s="48" t="str">
        <v>F</v>
      </c>
      <c r="V179" s="1"/>
      <c r="W179" s="1"/>
      <c r="X179" s="1"/>
      <c r="Y179" s="1"/>
      <c r="Z179" s="1"/>
      <c r="AA179" s="1"/>
      <c r="AB179" s="5"/>
      <c r="AC179" s="4"/>
      <c r="AD179" s="3"/>
      <c r="AE179" s="2"/>
      <c r="AF179" s="1"/>
      <c r="AG179" s="45"/>
      <c r="AH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</row>
    <row r="180" spans="1:66" customFormat="1" x14ac:dyDescent="0.4">
      <c r="A180" s="1"/>
      <c r="B180" s="2"/>
      <c r="C180" s="3"/>
      <c r="D180" s="4"/>
      <c r="E180" s="5"/>
      <c r="F180" s="1"/>
      <c r="H180" s="64" t="s">
        <v>472</v>
      </c>
      <c r="I180" s="43">
        <v>168</v>
      </c>
      <c r="J180" s="43" t="s">
        <v>166</v>
      </c>
      <c r="K180" s="53">
        <f t="shared" si="7"/>
        <v>168</v>
      </c>
      <c r="L180" s="57">
        <f t="shared" si="8"/>
        <v>168</v>
      </c>
      <c r="M180" s="54" t="str">
        <f>CHAR(Table35[[#This Row],[Decimal]])</f>
        <v>¨</v>
      </c>
      <c r="N180" s="1"/>
      <c r="O180" s="48">
        <f t="shared" si="9"/>
        <v>169</v>
      </c>
      <c r="P180" s="48" t="str" cm="1">
        <f t="array" ref="P180">CHAR(ROW(169:169))</f>
        <v>©</v>
      </c>
      <c r="R180" s="21">
        <v>169</v>
      </c>
      <c r="S180" s="59">
        <v>102</v>
      </c>
      <c r="T180" s="48" t="str">
        <v>f</v>
      </c>
      <c r="V180" s="1"/>
      <c r="W180" s="1"/>
      <c r="X180" s="1"/>
      <c r="Y180" s="1"/>
      <c r="Z180" s="1"/>
      <c r="AA180" s="1"/>
      <c r="AB180" s="5"/>
      <c r="AC180" s="4"/>
      <c r="AD180" s="3"/>
      <c r="AE180" s="2"/>
      <c r="AF180" s="1"/>
      <c r="AG180" s="45"/>
      <c r="AH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</row>
    <row r="181" spans="1:66" customFormat="1" x14ac:dyDescent="0.4">
      <c r="A181" s="1"/>
      <c r="B181" s="2"/>
      <c r="C181" s="3"/>
      <c r="D181" s="4"/>
      <c r="E181" s="5"/>
      <c r="F181" s="1"/>
      <c r="H181" s="64" t="s">
        <v>473</v>
      </c>
      <c r="I181" s="43">
        <v>169</v>
      </c>
      <c r="J181" s="43" t="s">
        <v>167</v>
      </c>
      <c r="K181" s="53">
        <f t="shared" si="7"/>
        <v>169</v>
      </c>
      <c r="L181" s="57">
        <f t="shared" si="8"/>
        <v>169</v>
      </c>
      <c r="M181" s="54" t="str">
        <f>CHAR(Table35[[#This Row],[Decimal]])</f>
        <v>©</v>
      </c>
      <c r="N181" s="1"/>
      <c r="O181" s="48">
        <f t="shared" si="9"/>
        <v>170</v>
      </c>
      <c r="P181" s="48" t="str" cm="1">
        <f t="array" ref="P181">CHAR(ROW(170:170))</f>
        <v>ª</v>
      </c>
      <c r="R181" s="21">
        <v>170</v>
      </c>
      <c r="S181" s="59">
        <v>131</v>
      </c>
      <c r="T181" s="48" t="str">
        <v>ƒ</v>
      </c>
      <c r="V181" s="1"/>
      <c r="W181" s="1"/>
      <c r="X181" s="1"/>
      <c r="Y181" s="1"/>
      <c r="Z181" s="1"/>
      <c r="AA181" s="1"/>
      <c r="AB181" s="5"/>
      <c r="AC181" s="4"/>
      <c r="AD181" s="3"/>
      <c r="AE181" s="2"/>
      <c r="AF181" s="1"/>
      <c r="AG181" s="45"/>
      <c r="AH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</row>
    <row r="182" spans="1:66" customFormat="1" x14ac:dyDescent="0.4">
      <c r="A182" s="1"/>
      <c r="B182" s="2"/>
      <c r="C182" s="3"/>
      <c r="D182" s="4"/>
      <c r="E182" s="5"/>
      <c r="F182" s="1"/>
      <c r="H182" s="64" t="s">
        <v>474</v>
      </c>
      <c r="I182" s="43">
        <v>170</v>
      </c>
      <c r="J182" s="43" t="s">
        <v>168</v>
      </c>
      <c r="K182" s="53">
        <f t="shared" si="7"/>
        <v>170</v>
      </c>
      <c r="L182" s="57">
        <f t="shared" si="8"/>
        <v>170</v>
      </c>
      <c r="M182" s="54" t="str">
        <f>CHAR(Table35[[#This Row],[Decimal]])</f>
        <v>ª</v>
      </c>
      <c r="N182" s="1"/>
      <c r="O182" s="48">
        <f t="shared" si="9"/>
        <v>171</v>
      </c>
      <c r="P182" s="48" t="str" cm="1">
        <f t="array" ref="P182">CHAR(ROW(171:171))</f>
        <v>«</v>
      </c>
      <c r="R182" s="21">
        <v>171</v>
      </c>
      <c r="S182" s="59">
        <v>71</v>
      </c>
      <c r="T182" s="48" t="str">
        <v>G</v>
      </c>
      <c r="V182" s="1"/>
      <c r="W182" s="1"/>
      <c r="X182" s="1"/>
      <c r="Y182" s="1"/>
      <c r="Z182" s="1"/>
      <c r="AA182" s="1"/>
      <c r="AB182" s="5"/>
      <c r="AC182" s="4"/>
      <c r="AD182" s="3"/>
      <c r="AE182" s="2"/>
      <c r="AF182" s="1"/>
      <c r="AG182" s="45"/>
      <c r="AH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</row>
    <row r="183" spans="1:66" customFormat="1" x14ac:dyDescent="0.4">
      <c r="A183" s="1"/>
      <c r="B183" s="2"/>
      <c r="C183" s="3"/>
      <c r="D183" s="4"/>
      <c r="E183" s="5"/>
      <c r="F183" s="1"/>
      <c r="H183" s="64" t="s">
        <v>475</v>
      </c>
      <c r="I183" s="43">
        <v>171</v>
      </c>
      <c r="J183" s="43" t="s">
        <v>169</v>
      </c>
      <c r="K183" s="53">
        <f t="shared" si="7"/>
        <v>171</v>
      </c>
      <c r="L183" s="57">
        <f t="shared" si="8"/>
        <v>171</v>
      </c>
      <c r="M183" s="54" t="str">
        <f>CHAR(Table35[[#This Row],[Decimal]])</f>
        <v>«</v>
      </c>
      <c r="N183" s="1"/>
      <c r="O183" s="48">
        <f t="shared" si="9"/>
        <v>172</v>
      </c>
      <c r="P183" s="48" t="str" cm="1">
        <f t="array" ref="P183">CHAR(ROW(172:172))</f>
        <v>¬</v>
      </c>
      <c r="R183" s="21">
        <v>172</v>
      </c>
      <c r="S183" s="59">
        <v>103</v>
      </c>
      <c r="T183" s="48" t="str">
        <v>g</v>
      </c>
      <c r="V183" s="1"/>
      <c r="W183" s="1"/>
      <c r="X183" s="1"/>
      <c r="Y183" s="1"/>
      <c r="Z183" s="1"/>
      <c r="AA183" s="1"/>
      <c r="AB183" s="5"/>
      <c r="AC183" s="4"/>
      <c r="AD183" s="3"/>
      <c r="AE183" s="2"/>
      <c r="AF183" s="1"/>
      <c r="AG183" s="45"/>
      <c r="AH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</row>
    <row r="184" spans="1:66" customFormat="1" x14ac:dyDescent="0.4">
      <c r="A184" s="1"/>
      <c r="B184" s="2"/>
      <c r="C184" s="3"/>
      <c r="D184" s="4"/>
      <c r="E184" s="5"/>
      <c r="F184" s="1"/>
      <c r="H184" s="64" t="s">
        <v>476</v>
      </c>
      <c r="I184" s="43">
        <v>172</v>
      </c>
      <c r="J184" s="43" t="s">
        <v>170</v>
      </c>
      <c r="K184" s="53">
        <f t="shared" si="7"/>
        <v>172</v>
      </c>
      <c r="L184" s="57">
        <f t="shared" si="8"/>
        <v>172</v>
      </c>
      <c r="M184" s="54" t="str">
        <f>CHAR(Table35[[#This Row],[Decimal]])</f>
        <v>¬</v>
      </c>
      <c r="N184" s="1"/>
      <c r="O184" s="48">
        <f t="shared" si="9"/>
        <v>173</v>
      </c>
      <c r="P184" s="48" t="str" cm="1">
        <f t="array" ref="P184">CHAR(ROW(173:173))</f>
        <v>­</v>
      </c>
      <c r="R184" s="21">
        <v>173</v>
      </c>
      <c r="S184" s="59">
        <v>72</v>
      </c>
      <c r="T184" s="48" t="str">
        <v>H</v>
      </c>
      <c r="V184" s="1"/>
      <c r="W184" s="1"/>
      <c r="X184" s="1"/>
      <c r="Y184" s="1"/>
      <c r="Z184" s="1"/>
      <c r="AA184" s="1"/>
      <c r="AB184" s="5"/>
      <c r="AC184" s="4"/>
      <c r="AD184" s="3"/>
      <c r="AE184" s="2"/>
      <c r="AF184" s="1"/>
      <c r="AG184" s="45"/>
      <c r="AH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</row>
    <row r="185" spans="1:66" customFormat="1" x14ac:dyDescent="0.4">
      <c r="A185" s="1"/>
      <c r="B185" s="2"/>
      <c r="C185" s="3"/>
      <c r="D185" s="4"/>
      <c r="E185" s="5"/>
      <c r="F185" s="1"/>
      <c r="H185" s="64" t="s">
        <v>477</v>
      </c>
      <c r="I185" s="43">
        <v>173</v>
      </c>
      <c r="J185" s="43" t="s">
        <v>171</v>
      </c>
      <c r="K185" s="53">
        <f t="shared" si="7"/>
        <v>173</v>
      </c>
      <c r="L185" s="57">
        <f t="shared" si="8"/>
        <v>173</v>
      </c>
      <c r="M185" s="54" t="str">
        <f>CHAR(Table35[[#This Row],[Decimal]])</f>
        <v>­</v>
      </c>
      <c r="N185" s="1"/>
      <c r="O185" s="48">
        <f t="shared" si="9"/>
        <v>174</v>
      </c>
      <c r="P185" s="48" t="str" cm="1">
        <f t="array" ref="P185">CHAR(ROW(174:174))</f>
        <v>®</v>
      </c>
      <c r="R185" s="21">
        <v>174</v>
      </c>
      <c r="S185" s="59">
        <v>104</v>
      </c>
      <c r="T185" s="48" t="str">
        <v>h</v>
      </c>
      <c r="V185" s="1"/>
      <c r="W185" s="1"/>
      <c r="X185" s="1"/>
      <c r="Y185" s="1"/>
      <c r="Z185" s="1"/>
      <c r="AA185" s="1"/>
      <c r="AB185" s="5"/>
      <c r="AC185" s="4"/>
      <c r="AD185" s="3"/>
      <c r="AE185" s="2"/>
      <c r="AF185" s="1"/>
      <c r="AG185" s="45"/>
      <c r="AH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</row>
    <row r="186" spans="1:66" customFormat="1" x14ac:dyDescent="0.4">
      <c r="A186" s="1"/>
      <c r="B186" s="2"/>
      <c r="C186" s="3"/>
      <c r="D186" s="4"/>
      <c r="E186" s="5"/>
      <c r="F186" s="1"/>
      <c r="H186" s="64" t="s">
        <v>478</v>
      </c>
      <c r="I186" s="43">
        <v>174</v>
      </c>
      <c r="J186" s="43" t="s">
        <v>172</v>
      </c>
      <c r="K186" s="53">
        <f t="shared" si="7"/>
        <v>174</v>
      </c>
      <c r="L186" s="57">
        <f t="shared" si="8"/>
        <v>174</v>
      </c>
      <c r="M186" s="54" t="str">
        <f>CHAR(Table35[[#This Row],[Decimal]])</f>
        <v>®</v>
      </c>
      <c r="N186" s="1"/>
      <c r="O186" s="48">
        <f t="shared" si="9"/>
        <v>175</v>
      </c>
      <c r="P186" s="48" t="str" cm="1">
        <f t="array" ref="P186">CHAR(ROW(175:175))</f>
        <v>¯</v>
      </c>
      <c r="R186" s="21">
        <v>175</v>
      </c>
      <c r="S186" s="59">
        <v>73</v>
      </c>
      <c r="T186" s="48" t="str">
        <v>I</v>
      </c>
      <c r="V186" s="1"/>
      <c r="W186" s="1"/>
      <c r="X186" s="1"/>
      <c r="Y186" s="1"/>
      <c r="Z186" s="1"/>
      <c r="AA186" s="1"/>
      <c r="AB186" s="5"/>
      <c r="AC186" s="4"/>
      <c r="AD186" s="3"/>
      <c r="AE186" s="2"/>
      <c r="AF186" s="1"/>
      <c r="AG186" s="45"/>
      <c r="AH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</row>
    <row r="187" spans="1:66" customFormat="1" x14ac:dyDescent="0.4">
      <c r="A187" s="1"/>
      <c r="B187" s="2"/>
      <c r="C187" s="3"/>
      <c r="D187" s="4"/>
      <c r="E187" s="5"/>
      <c r="F187" s="1"/>
      <c r="H187" s="64" t="s">
        <v>479</v>
      </c>
      <c r="I187" s="43">
        <v>175</v>
      </c>
      <c r="J187" s="43" t="s">
        <v>173</v>
      </c>
      <c r="K187" s="53">
        <f t="shared" si="7"/>
        <v>175</v>
      </c>
      <c r="L187" s="57">
        <f t="shared" si="8"/>
        <v>175</v>
      </c>
      <c r="M187" s="54" t="str">
        <f>CHAR(Table35[[#This Row],[Decimal]])</f>
        <v>¯</v>
      </c>
      <c r="N187" s="1"/>
      <c r="O187" s="48">
        <f t="shared" si="9"/>
        <v>176</v>
      </c>
      <c r="P187" s="48" t="str" cm="1">
        <f t="array" ref="P187">CHAR(ROW(176:176))</f>
        <v>°</v>
      </c>
      <c r="R187" s="21">
        <v>176</v>
      </c>
      <c r="S187" s="59">
        <v>105</v>
      </c>
      <c r="T187" s="48" t="str">
        <v>i</v>
      </c>
      <c r="V187" s="1"/>
      <c r="W187" s="1"/>
      <c r="X187" s="1"/>
      <c r="Y187" s="1"/>
      <c r="Z187" s="1"/>
      <c r="AA187" s="1"/>
      <c r="AB187" s="5"/>
      <c r="AC187" s="4"/>
      <c r="AD187" s="3"/>
      <c r="AE187" s="2"/>
      <c r="AF187" s="1"/>
      <c r="AG187" s="45"/>
      <c r="AH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</row>
    <row r="188" spans="1:66" customFormat="1" x14ac:dyDescent="0.4">
      <c r="A188" s="1"/>
      <c r="B188" s="2"/>
      <c r="C188" s="3"/>
      <c r="D188" s="4"/>
      <c r="E188" s="5"/>
      <c r="F188" s="1"/>
      <c r="H188" s="64" t="s">
        <v>480</v>
      </c>
      <c r="I188" s="43">
        <v>176</v>
      </c>
      <c r="J188" s="43" t="s">
        <v>174</v>
      </c>
      <c r="K188" s="53">
        <f t="shared" si="7"/>
        <v>176</v>
      </c>
      <c r="L188" s="57">
        <f t="shared" si="8"/>
        <v>176</v>
      </c>
      <c r="M188" s="54" t="str">
        <f>CHAR(Table35[[#This Row],[Decimal]])</f>
        <v>°</v>
      </c>
      <c r="N188" s="1"/>
      <c r="O188" s="48">
        <f t="shared" si="9"/>
        <v>177</v>
      </c>
      <c r="P188" s="48" t="str" cm="1">
        <f t="array" ref="P188">CHAR(ROW(177:177))</f>
        <v>±</v>
      </c>
      <c r="R188" s="21">
        <v>177</v>
      </c>
      <c r="S188" s="59">
        <v>205</v>
      </c>
      <c r="T188" s="48" t="str">
        <v>Í</v>
      </c>
      <c r="V188" s="1"/>
      <c r="W188" s="1"/>
      <c r="X188" s="1"/>
      <c r="Y188" s="1"/>
      <c r="Z188" s="1"/>
      <c r="AA188" s="1"/>
      <c r="AB188" s="5"/>
      <c r="AC188" s="4"/>
      <c r="AD188" s="3"/>
      <c r="AE188" s="2"/>
      <c r="AF188" s="1"/>
      <c r="AG188" s="45"/>
      <c r="AH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</row>
    <row r="189" spans="1:66" customFormat="1" x14ac:dyDescent="0.4">
      <c r="A189" s="1"/>
      <c r="B189" s="2"/>
      <c r="C189" s="3"/>
      <c r="D189" s="4"/>
      <c r="E189" s="5"/>
      <c r="F189" s="1"/>
      <c r="H189" s="64" t="s">
        <v>481</v>
      </c>
      <c r="I189" s="43">
        <v>177</v>
      </c>
      <c r="J189" s="43" t="s">
        <v>175</v>
      </c>
      <c r="K189" s="53">
        <f t="shared" si="7"/>
        <v>177</v>
      </c>
      <c r="L189" s="57">
        <f t="shared" si="8"/>
        <v>177</v>
      </c>
      <c r="M189" s="54" t="str">
        <f>CHAR(Table35[[#This Row],[Decimal]])</f>
        <v>±</v>
      </c>
      <c r="N189" s="1"/>
      <c r="O189" s="48">
        <f t="shared" si="9"/>
        <v>178</v>
      </c>
      <c r="P189" s="48" t="str" cm="1">
        <f t="array" ref="P189">CHAR(ROW(178:178))</f>
        <v>²</v>
      </c>
      <c r="R189" s="21">
        <v>178</v>
      </c>
      <c r="S189" s="59">
        <v>237</v>
      </c>
      <c r="T189" s="48" t="str">
        <v>í</v>
      </c>
      <c r="V189" s="1"/>
      <c r="W189" s="1"/>
      <c r="X189" s="1"/>
      <c r="Y189" s="1"/>
      <c r="Z189" s="1"/>
      <c r="AA189" s="1"/>
      <c r="AB189" s="5"/>
      <c r="AC189" s="4"/>
      <c r="AD189" s="3"/>
      <c r="AE189" s="2"/>
      <c r="AF189" s="1"/>
      <c r="AG189" s="45"/>
      <c r="AH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</row>
    <row r="190" spans="1:66" customFormat="1" x14ac:dyDescent="0.4">
      <c r="A190" s="1"/>
      <c r="B190" s="2"/>
      <c r="C190" s="3"/>
      <c r="D190" s="4"/>
      <c r="E190" s="5"/>
      <c r="F190" s="1"/>
      <c r="H190" s="64" t="s">
        <v>482</v>
      </c>
      <c r="I190" s="43">
        <v>178</v>
      </c>
      <c r="J190" s="43" t="s">
        <v>176</v>
      </c>
      <c r="K190" s="53">
        <f t="shared" si="7"/>
        <v>178</v>
      </c>
      <c r="L190" s="57">
        <f t="shared" si="8"/>
        <v>178</v>
      </c>
      <c r="M190" s="54" t="str">
        <f>CHAR(Table35[[#This Row],[Decimal]])</f>
        <v>²</v>
      </c>
      <c r="N190" s="1"/>
      <c r="O190" s="48">
        <f t="shared" si="9"/>
        <v>179</v>
      </c>
      <c r="P190" s="48" t="str" cm="1">
        <f t="array" ref="P190">CHAR(ROW(179:179))</f>
        <v>³</v>
      </c>
      <c r="R190" s="21">
        <v>179</v>
      </c>
      <c r="S190" s="59">
        <v>204</v>
      </c>
      <c r="T190" s="48" t="str">
        <v>Ì</v>
      </c>
      <c r="V190" s="1"/>
      <c r="W190" s="1"/>
      <c r="X190" s="1"/>
      <c r="Y190" s="1"/>
      <c r="Z190" s="1"/>
      <c r="AA190" s="1"/>
      <c r="AB190" s="5"/>
      <c r="AC190" s="4"/>
      <c r="AD190" s="3"/>
      <c r="AE190" s="2"/>
      <c r="AF190" s="1"/>
      <c r="AG190" s="45"/>
      <c r="AH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</row>
    <row r="191" spans="1:66" customFormat="1" x14ac:dyDescent="0.4">
      <c r="A191" s="1"/>
      <c r="B191" s="2"/>
      <c r="C191" s="3"/>
      <c r="D191" s="4"/>
      <c r="E191" s="5"/>
      <c r="F191" s="1"/>
      <c r="H191" s="64" t="s">
        <v>483</v>
      </c>
      <c r="I191" s="43">
        <v>179</v>
      </c>
      <c r="J191" s="43" t="s">
        <v>177</v>
      </c>
      <c r="K191" s="53">
        <f t="shared" si="7"/>
        <v>179</v>
      </c>
      <c r="L191" s="57">
        <f t="shared" si="8"/>
        <v>179</v>
      </c>
      <c r="M191" s="54" t="str">
        <f>CHAR(Table35[[#This Row],[Decimal]])</f>
        <v>³</v>
      </c>
      <c r="N191" s="1"/>
      <c r="O191" s="48">
        <f t="shared" si="9"/>
        <v>180</v>
      </c>
      <c r="P191" s="48" t="str" cm="1">
        <f t="array" ref="P191">CHAR(ROW(180:180))</f>
        <v>´</v>
      </c>
      <c r="R191" s="21">
        <v>180</v>
      </c>
      <c r="S191" s="59">
        <v>236</v>
      </c>
      <c r="T191" s="48" t="str">
        <v>ì</v>
      </c>
      <c r="V191" s="1"/>
      <c r="W191" s="1"/>
      <c r="X191" s="1"/>
      <c r="Y191" s="1"/>
      <c r="Z191" s="1"/>
      <c r="AA191" s="1"/>
      <c r="AB191" s="5"/>
      <c r="AC191" s="4"/>
      <c r="AD191" s="3"/>
      <c r="AE191" s="2"/>
      <c r="AF191" s="1"/>
      <c r="AG191" s="45"/>
      <c r="AH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</row>
    <row r="192" spans="1:66" customFormat="1" x14ac:dyDescent="0.4">
      <c r="A192" s="1"/>
      <c r="B192" s="2"/>
      <c r="C192" s="3"/>
      <c r="D192" s="4"/>
      <c r="E192" s="5"/>
      <c r="F192" s="1"/>
      <c r="H192" s="64" t="s">
        <v>484</v>
      </c>
      <c r="I192" s="43">
        <v>180</v>
      </c>
      <c r="J192" s="43" t="s">
        <v>178</v>
      </c>
      <c r="K192" s="53">
        <f t="shared" si="7"/>
        <v>180</v>
      </c>
      <c r="L192" s="57">
        <f t="shared" si="8"/>
        <v>180</v>
      </c>
      <c r="M192" s="54" t="str">
        <f>CHAR(Table35[[#This Row],[Decimal]])</f>
        <v>´</v>
      </c>
      <c r="N192" s="1"/>
      <c r="O192" s="48">
        <f t="shared" si="9"/>
        <v>181</v>
      </c>
      <c r="P192" s="48" t="str" cm="1">
        <f t="array" ref="P192">CHAR(ROW(181:181))</f>
        <v>µ</v>
      </c>
      <c r="R192" s="21">
        <v>181</v>
      </c>
      <c r="S192" s="59">
        <v>206</v>
      </c>
      <c r="T192" s="48" t="str">
        <v>Î</v>
      </c>
      <c r="V192" s="1"/>
      <c r="W192" s="1"/>
      <c r="X192" s="1"/>
      <c r="Y192" s="1"/>
      <c r="Z192" s="1"/>
      <c r="AA192" s="1"/>
      <c r="AB192" s="5"/>
      <c r="AC192" s="4"/>
      <c r="AD192" s="3"/>
      <c r="AE192" s="2"/>
      <c r="AF192" s="1"/>
      <c r="AG192" s="45"/>
      <c r="AH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</row>
    <row r="193" spans="1:66" customFormat="1" x14ac:dyDescent="0.4">
      <c r="A193" s="1"/>
      <c r="B193" s="2"/>
      <c r="C193" s="3"/>
      <c r="D193" s="4"/>
      <c r="E193" s="5"/>
      <c r="F193" s="1"/>
      <c r="H193" s="64" t="s">
        <v>485</v>
      </c>
      <c r="I193" s="43">
        <v>181</v>
      </c>
      <c r="J193" s="43" t="s">
        <v>179</v>
      </c>
      <c r="K193" s="53">
        <f t="shared" si="7"/>
        <v>181</v>
      </c>
      <c r="L193" s="57">
        <f t="shared" si="8"/>
        <v>181</v>
      </c>
      <c r="M193" s="54" t="str">
        <f>CHAR(Table35[[#This Row],[Decimal]])</f>
        <v>µ</v>
      </c>
      <c r="N193" s="1"/>
      <c r="O193" s="48">
        <f t="shared" si="9"/>
        <v>182</v>
      </c>
      <c r="P193" s="48" t="str" cm="1">
        <f t="array" ref="P193">CHAR(ROW(182:182))</f>
        <v>¶</v>
      </c>
      <c r="R193" s="21">
        <v>182</v>
      </c>
      <c r="S193" s="59">
        <v>238</v>
      </c>
      <c r="T193" s="48" t="str">
        <v>î</v>
      </c>
      <c r="V193" s="1"/>
      <c r="W193" s="1"/>
      <c r="X193" s="1"/>
      <c r="Y193" s="1"/>
      <c r="Z193" s="1"/>
      <c r="AA193" s="1"/>
      <c r="AB193" s="5"/>
      <c r="AC193" s="4"/>
      <c r="AD193" s="3"/>
      <c r="AE193" s="2"/>
      <c r="AF193" s="1"/>
      <c r="AG193" s="45"/>
      <c r="AH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</row>
    <row r="194" spans="1:66" customFormat="1" x14ac:dyDescent="0.4">
      <c r="A194" s="1"/>
      <c r="B194" s="2"/>
      <c r="C194" s="3"/>
      <c r="D194" s="4"/>
      <c r="E194" s="5"/>
      <c r="F194" s="1"/>
      <c r="H194" s="64" t="s">
        <v>486</v>
      </c>
      <c r="I194" s="43">
        <v>182</v>
      </c>
      <c r="J194" s="43" t="s">
        <v>180</v>
      </c>
      <c r="K194" s="53">
        <f t="shared" si="7"/>
        <v>182</v>
      </c>
      <c r="L194" s="57">
        <f t="shared" si="8"/>
        <v>182</v>
      </c>
      <c r="M194" s="54" t="str">
        <f>CHAR(Table35[[#This Row],[Decimal]])</f>
        <v>¶</v>
      </c>
      <c r="N194" s="1"/>
      <c r="O194" s="48">
        <f t="shared" si="9"/>
        <v>183</v>
      </c>
      <c r="P194" s="48" t="str" cm="1">
        <f t="array" ref="P194">CHAR(ROW(183:183))</f>
        <v>·</v>
      </c>
      <c r="R194" s="21">
        <v>183</v>
      </c>
      <c r="S194" s="59">
        <v>207</v>
      </c>
      <c r="T194" s="48" t="str">
        <v>Ï</v>
      </c>
      <c r="V194" s="1"/>
      <c r="W194" s="1"/>
      <c r="X194" s="1"/>
      <c r="Y194" s="1"/>
      <c r="Z194" s="1"/>
      <c r="AA194" s="1"/>
      <c r="AB194" s="5"/>
      <c r="AC194" s="4"/>
      <c r="AD194" s="3"/>
      <c r="AE194" s="2"/>
      <c r="AF194" s="1"/>
      <c r="AG194" s="45"/>
      <c r="AH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</row>
    <row r="195" spans="1:66" customFormat="1" x14ac:dyDescent="0.4">
      <c r="A195" s="1"/>
      <c r="B195" s="2"/>
      <c r="C195" s="3"/>
      <c r="D195" s="4"/>
      <c r="E195" s="5"/>
      <c r="F195" s="1"/>
      <c r="H195" s="64" t="s">
        <v>487</v>
      </c>
      <c r="I195" s="43">
        <v>183</v>
      </c>
      <c r="J195" s="43" t="s">
        <v>181</v>
      </c>
      <c r="K195" s="53">
        <f t="shared" si="7"/>
        <v>183</v>
      </c>
      <c r="L195" s="57">
        <f t="shared" si="8"/>
        <v>183</v>
      </c>
      <c r="M195" s="54" t="str">
        <f>CHAR(Table35[[#This Row],[Decimal]])</f>
        <v>·</v>
      </c>
      <c r="N195" s="1"/>
      <c r="O195" s="48">
        <f t="shared" si="9"/>
        <v>184</v>
      </c>
      <c r="P195" s="48" t="str" cm="1">
        <f t="array" ref="P195">CHAR(ROW(184:184))</f>
        <v>¸</v>
      </c>
      <c r="R195" s="21">
        <v>184</v>
      </c>
      <c r="S195" s="59">
        <v>239</v>
      </c>
      <c r="T195" s="48" t="str">
        <v>ï</v>
      </c>
      <c r="V195" s="1"/>
      <c r="W195" s="1"/>
      <c r="X195" s="1"/>
      <c r="Y195" s="1"/>
      <c r="Z195" s="1"/>
      <c r="AA195" s="1"/>
      <c r="AB195" s="5"/>
      <c r="AC195" s="4"/>
      <c r="AD195" s="3"/>
      <c r="AE195" s="2"/>
      <c r="AF195" s="1"/>
      <c r="AG195" s="45"/>
      <c r="AH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</row>
    <row r="196" spans="1:66" customFormat="1" x14ac:dyDescent="0.4">
      <c r="A196" s="1"/>
      <c r="B196" s="2"/>
      <c r="C196" s="3"/>
      <c r="D196" s="4"/>
      <c r="E196" s="5"/>
      <c r="F196" s="1"/>
      <c r="H196" s="64" t="s">
        <v>488</v>
      </c>
      <c r="I196" s="43">
        <v>184</v>
      </c>
      <c r="J196" s="43" t="s">
        <v>182</v>
      </c>
      <c r="K196" s="53">
        <f t="shared" si="7"/>
        <v>184</v>
      </c>
      <c r="L196" s="57">
        <f t="shared" si="8"/>
        <v>184</v>
      </c>
      <c r="M196" s="54" t="str">
        <f>CHAR(Table35[[#This Row],[Decimal]])</f>
        <v>¸</v>
      </c>
      <c r="N196" s="1"/>
      <c r="O196" s="48">
        <f t="shared" si="9"/>
        <v>185</v>
      </c>
      <c r="P196" s="48" t="str" cm="1">
        <f t="array" ref="P196">CHAR(ROW(185:185))</f>
        <v>¹</v>
      </c>
      <c r="R196" s="21">
        <v>185</v>
      </c>
      <c r="S196" s="59">
        <v>74</v>
      </c>
      <c r="T196" s="48" t="str">
        <v>J</v>
      </c>
      <c r="V196" s="1"/>
      <c r="W196" s="1"/>
      <c r="X196" s="1"/>
      <c r="Y196" s="1"/>
      <c r="Z196" s="1"/>
      <c r="AA196" s="1"/>
      <c r="AB196" s="5"/>
      <c r="AC196" s="4"/>
      <c r="AD196" s="3"/>
      <c r="AE196" s="2"/>
      <c r="AF196" s="1"/>
      <c r="AG196" s="45"/>
      <c r="AH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</row>
    <row r="197" spans="1:66" customFormat="1" x14ac:dyDescent="0.4">
      <c r="A197" s="1"/>
      <c r="B197" s="2"/>
      <c r="C197" s="3"/>
      <c r="D197" s="4"/>
      <c r="E197" s="5"/>
      <c r="F197" s="1"/>
      <c r="H197" s="64" t="s">
        <v>489</v>
      </c>
      <c r="I197" s="43">
        <v>185</v>
      </c>
      <c r="J197" s="43" t="s">
        <v>183</v>
      </c>
      <c r="K197" s="53">
        <f t="shared" si="7"/>
        <v>185</v>
      </c>
      <c r="L197" s="57">
        <f t="shared" si="8"/>
        <v>185</v>
      </c>
      <c r="M197" s="54" t="str">
        <f>CHAR(Table35[[#This Row],[Decimal]])</f>
        <v>¹</v>
      </c>
      <c r="N197" s="1"/>
      <c r="O197" s="48">
        <f t="shared" si="9"/>
        <v>186</v>
      </c>
      <c r="P197" s="48" t="str" cm="1">
        <f t="array" ref="P197">CHAR(ROW(186:186))</f>
        <v>º</v>
      </c>
      <c r="R197" s="21">
        <v>186</v>
      </c>
      <c r="S197" s="59">
        <v>106</v>
      </c>
      <c r="T197" s="48" t="str">
        <v>j</v>
      </c>
      <c r="V197" s="1"/>
      <c r="W197" s="1"/>
      <c r="X197" s="1"/>
      <c r="Y197" s="1"/>
      <c r="Z197" s="1"/>
      <c r="AA197" s="1"/>
      <c r="AB197" s="5"/>
      <c r="AC197" s="4"/>
      <c r="AD197" s="3"/>
      <c r="AE197" s="2"/>
      <c r="AF197" s="1"/>
      <c r="AG197" s="45"/>
      <c r="AH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</row>
    <row r="198" spans="1:66" customFormat="1" x14ac:dyDescent="0.4">
      <c r="A198" s="1"/>
      <c r="B198" s="2"/>
      <c r="C198" s="3"/>
      <c r="D198" s="4"/>
      <c r="E198" s="5"/>
      <c r="F198" s="1"/>
      <c r="H198" s="64" t="s">
        <v>490</v>
      </c>
      <c r="I198" s="43">
        <v>186</v>
      </c>
      <c r="J198" s="43" t="s">
        <v>184</v>
      </c>
      <c r="K198" s="53">
        <f t="shared" si="7"/>
        <v>186</v>
      </c>
      <c r="L198" s="57">
        <f t="shared" si="8"/>
        <v>186</v>
      </c>
      <c r="M198" s="54" t="str">
        <f>CHAR(Table35[[#This Row],[Decimal]])</f>
        <v>º</v>
      </c>
      <c r="N198" s="1"/>
      <c r="O198" s="48">
        <f t="shared" si="9"/>
        <v>187</v>
      </c>
      <c r="P198" s="48" t="str" cm="1">
        <f t="array" ref="P198">CHAR(ROW(187:187))</f>
        <v>»</v>
      </c>
      <c r="R198" s="21">
        <v>187</v>
      </c>
      <c r="S198" s="59">
        <v>75</v>
      </c>
      <c r="T198" s="48" t="str">
        <v>K</v>
      </c>
      <c r="V198" s="1"/>
      <c r="W198" s="1"/>
      <c r="X198" s="1"/>
      <c r="Y198" s="1"/>
      <c r="Z198" s="1"/>
      <c r="AA198" s="1"/>
      <c r="AB198" s="5"/>
      <c r="AC198" s="4"/>
      <c r="AD198" s="3"/>
      <c r="AE198" s="2"/>
      <c r="AF198" s="1"/>
      <c r="AG198" s="45"/>
      <c r="AH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</row>
    <row r="199" spans="1:66" customFormat="1" x14ac:dyDescent="0.4">
      <c r="A199" s="1"/>
      <c r="B199" s="2"/>
      <c r="C199" s="3"/>
      <c r="D199" s="4"/>
      <c r="E199" s="5"/>
      <c r="F199" s="1"/>
      <c r="H199" s="64" t="s">
        <v>491</v>
      </c>
      <c r="I199" s="43">
        <v>187</v>
      </c>
      <c r="J199" s="43" t="s">
        <v>185</v>
      </c>
      <c r="K199" s="53">
        <f t="shared" si="7"/>
        <v>187</v>
      </c>
      <c r="L199" s="57">
        <f t="shared" si="8"/>
        <v>187</v>
      </c>
      <c r="M199" s="54" t="str">
        <f>CHAR(Table35[[#This Row],[Decimal]])</f>
        <v>»</v>
      </c>
      <c r="N199" s="1"/>
      <c r="O199" s="48">
        <f t="shared" si="9"/>
        <v>188</v>
      </c>
      <c r="P199" s="48" t="str" cm="1">
        <f t="array" ref="P199">CHAR(ROW(188:188))</f>
        <v>¼</v>
      </c>
      <c r="R199" s="21">
        <v>188</v>
      </c>
      <c r="S199" s="59">
        <v>107</v>
      </c>
      <c r="T199" s="48" t="str">
        <v>k</v>
      </c>
      <c r="V199" s="1"/>
      <c r="W199" s="1"/>
      <c r="X199" s="1"/>
      <c r="Y199" s="1"/>
      <c r="Z199" s="1"/>
      <c r="AA199" s="1"/>
      <c r="AB199" s="5"/>
      <c r="AC199" s="4"/>
      <c r="AD199" s="3"/>
      <c r="AE199" s="2"/>
      <c r="AF199" s="1"/>
      <c r="AG199" s="45"/>
      <c r="AH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</row>
    <row r="200" spans="1:66" customFormat="1" x14ac:dyDescent="0.4">
      <c r="A200" s="1"/>
      <c r="B200" s="2"/>
      <c r="C200" s="3"/>
      <c r="D200" s="4"/>
      <c r="E200" s="5"/>
      <c r="F200" s="1"/>
      <c r="H200" s="64" t="s">
        <v>492</v>
      </c>
      <c r="I200" s="43">
        <v>188</v>
      </c>
      <c r="J200" s="43" t="s">
        <v>186</v>
      </c>
      <c r="K200" s="53">
        <f t="shared" si="7"/>
        <v>188</v>
      </c>
      <c r="L200" s="57">
        <f t="shared" si="8"/>
        <v>188</v>
      </c>
      <c r="M200" s="54" t="str">
        <f>CHAR(Table35[[#This Row],[Decimal]])</f>
        <v>¼</v>
      </c>
      <c r="N200" s="1"/>
      <c r="O200" s="48">
        <f t="shared" si="9"/>
        <v>189</v>
      </c>
      <c r="P200" s="48" t="str" cm="1">
        <f t="array" ref="P200">CHAR(ROW(189:189))</f>
        <v>½</v>
      </c>
      <c r="R200" s="21">
        <v>189</v>
      </c>
      <c r="S200" s="59">
        <v>76</v>
      </c>
      <c r="T200" s="48" t="str">
        <v>L</v>
      </c>
      <c r="V200" s="1"/>
      <c r="W200" s="1"/>
      <c r="X200" s="1"/>
      <c r="Y200" s="1"/>
      <c r="Z200" s="1"/>
      <c r="AA200" s="1"/>
      <c r="AB200" s="5"/>
      <c r="AC200" s="4"/>
      <c r="AD200" s="3"/>
      <c r="AE200" s="2"/>
      <c r="AF200" s="1"/>
      <c r="AG200" s="45"/>
      <c r="AH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</row>
    <row r="201" spans="1:66" customFormat="1" x14ac:dyDescent="0.4">
      <c r="A201" s="1"/>
      <c r="B201" s="2"/>
      <c r="C201" s="3"/>
      <c r="D201" s="4"/>
      <c r="E201" s="5"/>
      <c r="F201" s="1"/>
      <c r="H201" s="64" t="s">
        <v>493</v>
      </c>
      <c r="I201" s="43">
        <v>189</v>
      </c>
      <c r="J201" s="43" t="s">
        <v>187</v>
      </c>
      <c r="K201" s="53">
        <f t="shared" si="7"/>
        <v>189</v>
      </c>
      <c r="L201" s="57">
        <f t="shared" si="8"/>
        <v>189</v>
      </c>
      <c r="M201" s="54" t="str">
        <f>CHAR(Table35[[#This Row],[Decimal]])</f>
        <v>½</v>
      </c>
      <c r="N201" s="1"/>
      <c r="O201" s="48">
        <f t="shared" si="9"/>
        <v>190</v>
      </c>
      <c r="P201" s="48" t="str" cm="1">
        <f t="array" ref="P201">CHAR(ROW(190:190))</f>
        <v>¾</v>
      </c>
      <c r="R201" s="21">
        <v>190</v>
      </c>
      <c r="S201" s="59">
        <v>108</v>
      </c>
      <c r="T201" s="48" t="str">
        <v>l</v>
      </c>
      <c r="V201" s="1"/>
      <c r="W201" s="1"/>
      <c r="X201" s="1"/>
      <c r="Y201" s="1"/>
      <c r="Z201" s="1"/>
      <c r="AA201" s="1"/>
      <c r="AB201" s="5"/>
      <c r="AC201" s="4"/>
      <c r="AD201" s="3"/>
      <c r="AE201" s="2"/>
      <c r="AF201" s="1"/>
      <c r="AG201" s="45"/>
      <c r="AH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</row>
    <row r="202" spans="1:66" customFormat="1" x14ac:dyDescent="0.4">
      <c r="A202" s="1"/>
      <c r="B202" s="2"/>
      <c r="C202" s="3"/>
      <c r="D202" s="4"/>
      <c r="E202" s="5"/>
      <c r="F202" s="1"/>
      <c r="H202" s="64" t="s">
        <v>494</v>
      </c>
      <c r="I202" s="43">
        <v>190</v>
      </c>
      <c r="J202" s="43" t="s">
        <v>188</v>
      </c>
      <c r="K202" s="53">
        <f t="shared" si="7"/>
        <v>190</v>
      </c>
      <c r="L202" s="57">
        <f t="shared" si="8"/>
        <v>190</v>
      </c>
      <c r="M202" s="54" t="str">
        <f>CHAR(Table35[[#This Row],[Decimal]])</f>
        <v>¾</v>
      </c>
      <c r="N202" s="1"/>
      <c r="O202" s="48">
        <f t="shared" si="9"/>
        <v>191</v>
      </c>
      <c r="P202" s="48" t="str" cm="1">
        <f t="array" ref="P202">CHAR(ROW(191:191))</f>
        <v>¿</v>
      </c>
      <c r="R202" s="21">
        <v>191</v>
      </c>
      <c r="S202" s="59">
        <v>77</v>
      </c>
      <c r="T202" s="48" t="str">
        <v>M</v>
      </c>
      <c r="V202" s="1"/>
      <c r="W202" s="1"/>
      <c r="X202" s="1"/>
      <c r="Y202" s="1"/>
      <c r="Z202" s="1"/>
      <c r="AA202" s="1"/>
      <c r="AB202" s="5"/>
      <c r="AC202" s="4"/>
      <c r="AD202" s="3"/>
      <c r="AE202" s="2"/>
      <c r="AF202" s="1"/>
      <c r="AG202" s="45"/>
      <c r="AH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</row>
    <row r="203" spans="1:66" customFormat="1" x14ac:dyDescent="0.4">
      <c r="A203" s="1"/>
      <c r="B203" s="2"/>
      <c r="C203" s="3"/>
      <c r="D203" s="4"/>
      <c r="E203" s="5"/>
      <c r="F203" s="1"/>
      <c r="H203" s="64" t="s">
        <v>495</v>
      </c>
      <c r="I203" s="43">
        <v>191</v>
      </c>
      <c r="J203" s="43" t="s">
        <v>189</v>
      </c>
      <c r="K203" s="53">
        <f t="shared" si="7"/>
        <v>191</v>
      </c>
      <c r="L203" s="57">
        <f t="shared" si="8"/>
        <v>191</v>
      </c>
      <c r="M203" s="54" t="str">
        <f>CHAR(Table35[[#This Row],[Decimal]])</f>
        <v>¿</v>
      </c>
      <c r="N203" s="1"/>
      <c r="O203" s="48">
        <f t="shared" si="9"/>
        <v>192</v>
      </c>
      <c r="P203" s="48" t="str" cm="1">
        <f t="array" ref="P203">CHAR(ROW(192:192))</f>
        <v>À</v>
      </c>
      <c r="R203" s="21">
        <v>192</v>
      </c>
      <c r="S203" s="59">
        <v>109</v>
      </c>
      <c r="T203" s="48" t="str">
        <v>m</v>
      </c>
      <c r="V203" s="1"/>
      <c r="W203" s="1"/>
      <c r="X203" s="1"/>
      <c r="Y203" s="1"/>
      <c r="Z203" s="1"/>
      <c r="AA203" s="1"/>
      <c r="AB203" s="5"/>
      <c r="AC203" s="4"/>
      <c r="AD203" s="3"/>
      <c r="AE203" s="2"/>
      <c r="AF203" s="1"/>
      <c r="AG203" s="45"/>
      <c r="AH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</row>
    <row r="204" spans="1:66" customFormat="1" x14ac:dyDescent="0.4">
      <c r="A204" s="1"/>
      <c r="B204" s="2"/>
      <c r="C204" s="3"/>
      <c r="D204" s="4"/>
      <c r="E204" s="5"/>
      <c r="F204" s="1"/>
      <c r="H204" s="64" t="s">
        <v>496</v>
      </c>
      <c r="I204" s="43">
        <v>192</v>
      </c>
      <c r="J204" s="43" t="s">
        <v>190</v>
      </c>
      <c r="K204" s="53">
        <f t="shared" ref="K204:K267" si="10">CODE(J204)</f>
        <v>192</v>
      </c>
      <c r="L204" s="57">
        <f t="shared" ref="L204:L267" si="11">CODE(M204)</f>
        <v>192</v>
      </c>
      <c r="M204" s="54" t="str">
        <f>CHAR(Table35[[#This Row],[Decimal]])</f>
        <v>À</v>
      </c>
      <c r="N204" s="1"/>
      <c r="O204" s="48">
        <f t="shared" si="9"/>
        <v>193</v>
      </c>
      <c r="P204" s="48" t="str" cm="1">
        <f t="array" ref="P204">CHAR(ROW(193:193))</f>
        <v>Á</v>
      </c>
      <c r="R204" s="21">
        <v>193</v>
      </c>
      <c r="S204" s="59">
        <v>78</v>
      </c>
      <c r="T204" s="48" t="str">
        <v>N</v>
      </c>
      <c r="V204" s="1"/>
      <c r="W204" s="1"/>
      <c r="X204" s="1"/>
      <c r="Y204" s="1"/>
      <c r="Z204" s="1"/>
      <c r="AA204" s="1"/>
      <c r="AB204" s="5"/>
      <c r="AC204" s="4"/>
      <c r="AD204" s="3"/>
      <c r="AE204" s="2"/>
      <c r="AF204" s="1"/>
      <c r="AG204" s="45"/>
      <c r="AH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</row>
    <row r="205" spans="1:66" customFormat="1" x14ac:dyDescent="0.4">
      <c r="A205" s="1"/>
      <c r="B205" s="2"/>
      <c r="C205" s="3"/>
      <c r="D205" s="4"/>
      <c r="E205" s="5"/>
      <c r="F205" s="1"/>
      <c r="H205" s="64" t="s">
        <v>497</v>
      </c>
      <c r="I205" s="43">
        <v>193</v>
      </c>
      <c r="J205" s="43" t="s">
        <v>191</v>
      </c>
      <c r="K205" s="53">
        <f t="shared" si="10"/>
        <v>193</v>
      </c>
      <c r="L205" s="57">
        <f t="shared" si="11"/>
        <v>193</v>
      </c>
      <c r="M205" s="54" t="str">
        <f>CHAR(Table35[[#This Row],[Decimal]])</f>
        <v>Á</v>
      </c>
      <c r="N205" s="1"/>
      <c r="O205" s="48">
        <f t="shared" ref="O205:O266" si="12">CODE(P205)</f>
        <v>194</v>
      </c>
      <c r="P205" s="48" t="str" cm="1">
        <f t="array" ref="P205">CHAR(ROW(194:194))</f>
        <v>Â</v>
      </c>
      <c r="R205" s="21">
        <v>194</v>
      </c>
      <c r="S205" s="59">
        <v>110</v>
      </c>
      <c r="T205" s="48" t="str">
        <v>n</v>
      </c>
      <c r="V205" s="1"/>
      <c r="W205" s="1"/>
      <c r="X205" s="1"/>
      <c r="Y205" s="1"/>
      <c r="Z205" s="1"/>
      <c r="AA205" s="1"/>
      <c r="AB205" s="5"/>
      <c r="AC205" s="4"/>
      <c r="AD205" s="3"/>
      <c r="AE205" s="2"/>
      <c r="AF205" s="1"/>
      <c r="AG205" s="45"/>
      <c r="AH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</row>
    <row r="206" spans="1:66" customFormat="1" x14ac:dyDescent="0.4">
      <c r="A206" s="1"/>
      <c r="B206" s="2"/>
      <c r="C206" s="3"/>
      <c r="D206" s="4"/>
      <c r="E206" s="5"/>
      <c r="F206" s="1"/>
      <c r="H206" s="64" t="s">
        <v>498</v>
      </c>
      <c r="I206" s="43">
        <v>194</v>
      </c>
      <c r="J206" s="43" t="s">
        <v>192</v>
      </c>
      <c r="K206" s="53">
        <f t="shared" si="10"/>
        <v>194</v>
      </c>
      <c r="L206" s="57">
        <f t="shared" si="11"/>
        <v>194</v>
      </c>
      <c r="M206" s="54" t="str">
        <f>CHAR(Table35[[#This Row],[Decimal]])</f>
        <v>Â</v>
      </c>
      <c r="N206" s="1"/>
      <c r="O206" s="48">
        <f t="shared" si="12"/>
        <v>195</v>
      </c>
      <c r="P206" s="48" t="str" cm="1">
        <f t="array" ref="P206">CHAR(ROW(195:195))</f>
        <v>Ã</v>
      </c>
      <c r="R206" s="21">
        <v>195</v>
      </c>
      <c r="S206" s="59">
        <v>209</v>
      </c>
      <c r="T206" s="48" t="str">
        <v>Ñ</v>
      </c>
      <c r="V206" s="1"/>
      <c r="W206" s="1"/>
      <c r="X206" s="1"/>
      <c r="Y206" s="1"/>
      <c r="Z206" s="1"/>
      <c r="AA206" s="1"/>
      <c r="AB206" s="5"/>
      <c r="AC206" s="4"/>
      <c r="AD206" s="3"/>
      <c r="AE206" s="2"/>
      <c r="AF206" s="1"/>
      <c r="AG206" s="45"/>
      <c r="AH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</row>
    <row r="207" spans="1:66" customFormat="1" x14ac:dyDescent="0.4">
      <c r="A207" s="1"/>
      <c r="B207" s="2"/>
      <c r="C207" s="3"/>
      <c r="D207" s="4"/>
      <c r="E207" s="5"/>
      <c r="F207" s="1"/>
      <c r="H207" s="64" t="s">
        <v>499</v>
      </c>
      <c r="I207" s="43">
        <v>195</v>
      </c>
      <c r="J207" s="43" t="s">
        <v>193</v>
      </c>
      <c r="K207" s="53">
        <f t="shared" si="10"/>
        <v>195</v>
      </c>
      <c r="L207" s="57">
        <f t="shared" si="11"/>
        <v>195</v>
      </c>
      <c r="M207" s="54" t="str">
        <f>CHAR(Table35[[#This Row],[Decimal]])</f>
        <v>Ã</v>
      </c>
      <c r="N207" s="1"/>
      <c r="O207" s="48">
        <f t="shared" si="12"/>
        <v>196</v>
      </c>
      <c r="P207" s="48" t="str" cm="1">
        <f t="array" ref="P207">CHAR(ROW(196:196))</f>
        <v>Ä</v>
      </c>
      <c r="R207" s="21">
        <v>196</v>
      </c>
      <c r="S207" s="59">
        <v>241</v>
      </c>
      <c r="T207" s="48" t="str">
        <v>ñ</v>
      </c>
      <c r="V207" s="1"/>
      <c r="W207" s="1"/>
      <c r="X207" s="1"/>
      <c r="Y207" s="1"/>
      <c r="Z207" s="1"/>
      <c r="AA207" s="1"/>
      <c r="AB207" s="5"/>
      <c r="AC207" s="4"/>
      <c r="AD207" s="3"/>
      <c r="AE207" s="2"/>
      <c r="AF207" s="1"/>
      <c r="AG207" s="45"/>
      <c r="AH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</row>
    <row r="208" spans="1:66" customFormat="1" x14ac:dyDescent="0.4">
      <c r="A208" s="1"/>
      <c r="B208" s="2"/>
      <c r="C208" s="3"/>
      <c r="D208" s="4"/>
      <c r="E208" s="5"/>
      <c r="F208" s="1"/>
      <c r="H208" s="64" t="s">
        <v>500</v>
      </c>
      <c r="I208" s="43">
        <v>196</v>
      </c>
      <c r="J208" s="43" t="s">
        <v>194</v>
      </c>
      <c r="K208" s="53">
        <f t="shared" si="10"/>
        <v>196</v>
      </c>
      <c r="L208" s="57">
        <f t="shared" si="11"/>
        <v>196</v>
      </c>
      <c r="M208" s="54" t="str">
        <f>CHAR(Table35[[#This Row],[Decimal]])</f>
        <v>Ä</v>
      </c>
      <c r="N208" s="1"/>
      <c r="O208" s="48">
        <f t="shared" si="12"/>
        <v>197</v>
      </c>
      <c r="P208" s="48" t="str" cm="1">
        <f t="array" ref="P208">CHAR(ROW(197:197))</f>
        <v>Å</v>
      </c>
      <c r="R208" s="21">
        <v>197</v>
      </c>
      <c r="S208" s="59">
        <v>79</v>
      </c>
      <c r="T208" s="48" t="str">
        <v>O</v>
      </c>
      <c r="V208" s="1"/>
      <c r="W208" s="1"/>
      <c r="X208" s="1"/>
      <c r="Y208" s="1"/>
      <c r="Z208" s="1"/>
      <c r="AA208" s="1"/>
      <c r="AB208" s="5"/>
      <c r="AC208" s="4"/>
      <c r="AD208" s="3"/>
      <c r="AE208" s="2"/>
      <c r="AF208" s="1"/>
      <c r="AG208" s="45"/>
      <c r="AH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</row>
    <row r="209" spans="1:66" customFormat="1" x14ac:dyDescent="0.4">
      <c r="A209" s="1"/>
      <c r="B209" s="2"/>
      <c r="C209" s="3"/>
      <c r="D209" s="4"/>
      <c r="E209" s="5"/>
      <c r="F209" s="1"/>
      <c r="H209" s="64" t="s">
        <v>501</v>
      </c>
      <c r="I209" s="43">
        <v>197</v>
      </c>
      <c r="J209" s="43" t="s">
        <v>195</v>
      </c>
      <c r="K209" s="53">
        <f t="shared" si="10"/>
        <v>197</v>
      </c>
      <c r="L209" s="57">
        <f t="shared" si="11"/>
        <v>197</v>
      </c>
      <c r="M209" s="54" t="str">
        <f>CHAR(Table35[[#This Row],[Decimal]])</f>
        <v>Å</v>
      </c>
      <c r="N209" s="1"/>
      <c r="O209" s="48">
        <f t="shared" si="12"/>
        <v>198</v>
      </c>
      <c r="P209" s="48" t="str" cm="1">
        <f t="array" ref="P209">CHAR(ROW(198:198))</f>
        <v>Æ</v>
      </c>
      <c r="R209" s="21">
        <v>198</v>
      </c>
      <c r="S209" s="59">
        <v>111</v>
      </c>
      <c r="T209" s="48" t="str">
        <v>o</v>
      </c>
      <c r="V209" s="1"/>
      <c r="W209" s="1"/>
      <c r="X209" s="1"/>
      <c r="Y209" s="1"/>
      <c r="Z209" s="1"/>
      <c r="AA209" s="1"/>
      <c r="AB209" s="5"/>
      <c r="AC209" s="4"/>
      <c r="AD209" s="3"/>
      <c r="AE209" s="2"/>
      <c r="AF209" s="1"/>
      <c r="AG209" s="45"/>
      <c r="AH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</row>
    <row r="210" spans="1:66" customFormat="1" x14ac:dyDescent="0.4">
      <c r="A210" s="1"/>
      <c r="B210" s="2"/>
      <c r="C210" s="3"/>
      <c r="D210" s="4"/>
      <c r="E210" s="5"/>
      <c r="F210" s="1"/>
      <c r="H210" s="64" t="s">
        <v>502</v>
      </c>
      <c r="I210" s="43">
        <v>198</v>
      </c>
      <c r="J210" s="43" t="s">
        <v>196</v>
      </c>
      <c r="K210" s="53">
        <f t="shared" si="10"/>
        <v>198</v>
      </c>
      <c r="L210" s="57">
        <f t="shared" si="11"/>
        <v>198</v>
      </c>
      <c r="M210" s="54" t="str">
        <f>CHAR(Table35[[#This Row],[Decimal]])</f>
        <v>Æ</v>
      </c>
      <c r="N210" s="1"/>
      <c r="O210" s="48">
        <f t="shared" si="12"/>
        <v>199</v>
      </c>
      <c r="P210" s="48" t="str" cm="1">
        <f t="array" ref="P210">CHAR(ROW(199:199))</f>
        <v>Ç</v>
      </c>
      <c r="R210" s="21">
        <v>199</v>
      </c>
      <c r="S210" s="59">
        <v>186</v>
      </c>
      <c r="T210" s="48" t="str">
        <v>º</v>
      </c>
      <c r="V210" s="1"/>
      <c r="W210" s="1"/>
      <c r="X210" s="1"/>
      <c r="Y210" s="1"/>
      <c r="Z210" s="1"/>
      <c r="AA210" s="1"/>
      <c r="AB210" s="5"/>
      <c r="AC210" s="4"/>
      <c r="AD210" s="3"/>
      <c r="AE210" s="2"/>
      <c r="AF210" s="1"/>
      <c r="AG210" s="45"/>
      <c r="AH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</row>
    <row r="211" spans="1:66" customFormat="1" x14ac:dyDescent="0.4">
      <c r="A211" s="1"/>
      <c r="B211" s="2"/>
      <c r="C211" s="3"/>
      <c r="D211" s="4"/>
      <c r="E211" s="5"/>
      <c r="F211" s="1"/>
      <c r="H211" s="64" t="s">
        <v>503</v>
      </c>
      <c r="I211" s="43">
        <v>199</v>
      </c>
      <c r="J211" s="43" t="s">
        <v>197</v>
      </c>
      <c r="K211" s="53">
        <f t="shared" si="10"/>
        <v>199</v>
      </c>
      <c r="L211" s="57">
        <f t="shared" si="11"/>
        <v>199</v>
      </c>
      <c r="M211" s="54" t="str">
        <f>CHAR(Table35[[#This Row],[Decimal]])</f>
        <v>Ç</v>
      </c>
      <c r="N211" s="1"/>
      <c r="O211" s="48">
        <f t="shared" si="12"/>
        <v>200</v>
      </c>
      <c r="P211" s="48" t="str" cm="1">
        <f t="array" ref="P211">CHAR(ROW(200:200))</f>
        <v>È</v>
      </c>
      <c r="R211" s="21">
        <v>200</v>
      </c>
      <c r="S211" s="59">
        <v>211</v>
      </c>
      <c r="T211" s="48" t="str">
        <v>Ó</v>
      </c>
      <c r="V211" s="1"/>
      <c r="W211" s="1"/>
      <c r="X211" s="1"/>
      <c r="Y211" s="1"/>
      <c r="Z211" s="1"/>
      <c r="AA211" s="1"/>
      <c r="AB211" s="5"/>
      <c r="AC211" s="4"/>
      <c r="AD211" s="3"/>
      <c r="AE211" s="2"/>
      <c r="AF211" s="1"/>
      <c r="AG211" s="45"/>
      <c r="AH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</row>
    <row r="212" spans="1:66" customFormat="1" x14ac:dyDescent="0.4">
      <c r="A212" s="1"/>
      <c r="B212" s="2"/>
      <c r="C212" s="3"/>
      <c r="D212" s="4"/>
      <c r="E212" s="5"/>
      <c r="F212" s="1"/>
      <c r="H212" s="64" t="s">
        <v>504</v>
      </c>
      <c r="I212" s="43">
        <v>200</v>
      </c>
      <c r="J212" s="43" t="s">
        <v>198</v>
      </c>
      <c r="K212" s="53">
        <f t="shared" si="10"/>
        <v>200</v>
      </c>
      <c r="L212" s="57">
        <f t="shared" si="11"/>
        <v>200</v>
      </c>
      <c r="M212" s="54" t="str">
        <f>CHAR(Table35[[#This Row],[Decimal]])</f>
        <v>È</v>
      </c>
      <c r="N212" s="1"/>
      <c r="O212" s="48">
        <f t="shared" si="12"/>
        <v>201</v>
      </c>
      <c r="P212" s="48" t="str" cm="1">
        <f t="array" ref="P212">CHAR(ROW(201:201))</f>
        <v>É</v>
      </c>
      <c r="R212" s="21">
        <v>201</v>
      </c>
      <c r="S212" s="59">
        <v>243</v>
      </c>
      <c r="T212" s="48" t="str">
        <v>ó</v>
      </c>
      <c r="V212" s="1"/>
      <c r="W212" s="1"/>
      <c r="X212" s="1"/>
      <c r="Y212" s="1"/>
      <c r="Z212" s="1"/>
      <c r="AA212" s="1"/>
      <c r="AB212" s="5"/>
      <c r="AC212" s="4"/>
      <c r="AD212" s="3"/>
      <c r="AE212" s="2"/>
      <c r="AF212" s="1"/>
      <c r="AG212" s="45"/>
      <c r="AH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</row>
    <row r="213" spans="1:66" customFormat="1" x14ac:dyDescent="0.4">
      <c r="A213" s="1"/>
      <c r="B213" s="2"/>
      <c r="C213" s="3"/>
      <c r="D213" s="4"/>
      <c r="E213" s="5"/>
      <c r="F213" s="1"/>
      <c r="H213" s="64" t="s">
        <v>505</v>
      </c>
      <c r="I213" s="43">
        <v>201</v>
      </c>
      <c r="J213" s="43" t="s">
        <v>199</v>
      </c>
      <c r="K213" s="53">
        <f t="shared" si="10"/>
        <v>201</v>
      </c>
      <c r="L213" s="57">
        <f t="shared" si="11"/>
        <v>201</v>
      </c>
      <c r="M213" s="54" t="str">
        <f>CHAR(Table35[[#This Row],[Decimal]])</f>
        <v>É</v>
      </c>
      <c r="N213" s="1"/>
      <c r="O213" s="48">
        <f t="shared" si="12"/>
        <v>202</v>
      </c>
      <c r="P213" s="48" t="str" cm="1">
        <f t="array" ref="P213">CHAR(ROW(202:202))</f>
        <v>Ê</v>
      </c>
      <c r="R213" s="21">
        <v>202</v>
      </c>
      <c r="S213" s="59">
        <v>210</v>
      </c>
      <c r="T213" s="48" t="str">
        <v>Ò</v>
      </c>
      <c r="V213" s="1"/>
      <c r="W213" s="1"/>
      <c r="X213" s="1"/>
      <c r="Y213" s="1"/>
      <c r="Z213" s="1"/>
      <c r="AA213" s="1"/>
      <c r="AB213" s="5"/>
      <c r="AC213" s="4"/>
      <c r="AD213" s="3"/>
      <c r="AE213" s="2"/>
      <c r="AF213" s="1"/>
      <c r="AG213" s="45"/>
      <c r="AH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</row>
    <row r="214" spans="1:66" customFormat="1" x14ac:dyDescent="0.4">
      <c r="A214" s="1"/>
      <c r="B214" s="2"/>
      <c r="C214" s="3"/>
      <c r="D214" s="4"/>
      <c r="E214" s="5"/>
      <c r="F214" s="1"/>
      <c r="H214" s="64" t="s">
        <v>506</v>
      </c>
      <c r="I214" s="43">
        <v>202</v>
      </c>
      <c r="J214" s="43" t="s">
        <v>200</v>
      </c>
      <c r="K214" s="53">
        <f t="shared" si="10"/>
        <v>202</v>
      </c>
      <c r="L214" s="57">
        <f t="shared" si="11"/>
        <v>202</v>
      </c>
      <c r="M214" s="54" t="str">
        <f>CHAR(Table35[[#This Row],[Decimal]])</f>
        <v>Ê</v>
      </c>
      <c r="N214" s="1"/>
      <c r="O214" s="48">
        <f t="shared" si="12"/>
        <v>203</v>
      </c>
      <c r="P214" s="48" t="str" cm="1">
        <f t="array" ref="P214">CHAR(ROW(203:203))</f>
        <v>Ë</v>
      </c>
      <c r="R214" s="21">
        <v>203</v>
      </c>
      <c r="S214" s="59">
        <v>242</v>
      </c>
      <c r="T214" s="48" t="str">
        <v>ò</v>
      </c>
      <c r="V214" s="1"/>
      <c r="W214" s="1"/>
      <c r="X214" s="1"/>
      <c r="Y214" s="1"/>
      <c r="Z214" s="1"/>
      <c r="AA214" s="1"/>
      <c r="AB214" s="5"/>
      <c r="AC214" s="4"/>
      <c r="AD214" s="3"/>
      <c r="AE214" s="2"/>
      <c r="AF214" s="1"/>
      <c r="AG214" s="45"/>
      <c r="AH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</row>
    <row r="215" spans="1:66" customFormat="1" x14ac:dyDescent="0.4">
      <c r="A215" s="1"/>
      <c r="B215" s="2"/>
      <c r="C215" s="3"/>
      <c r="D215" s="4"/>
      <c r="E215" s="5"/>
      <c r="F215" s="1"/>
      <c r="H215" s="64" t="s">
        <v>507</v>
      </c>
      <c r="I215" s="43">
        <v>203</v>
      </c>
      <c r="J215" s="43" t="s">
        <v>201</v>
      </c>
      <c r="K215" s="53">
        <f t="shared" si="10"/>
        <v>203</v>
      </c>
      <c r="L215" s="57">
        <f t="shared" si="11"/>
        <v>203</v>
      </c>
      <c r="M215" s="54" t="str">
        <f>CHAR(Table35[[#This Row],[Decimal]])</f>
        <v>Ë</v>
      </c>
      <c r="N215" s="1"/>
      <c r="O215" s="48">
        <f t="shared" si="12"/>
        <v>204</v>
      </c>
      <c r="P215" s="48" t="str" cm="1">
        <f t="array" ref="P215">CHAR(ROW(204:204))</f>
        <v>Ì</v>
      </c>
      <c r="R215" s="21">
        <v>204</v>
      </c>
      <c r="S215" s="59">
        <v>212</v>
      </c>
      <c r="T215" s="48" t="str">
        <v>Ô</v>
      </c>
      <c r="V215" s="1"/>
      <c r="W215" s="1"/>
      <c r="X215" s="1"/>
      <c r="Y215" s="1"/>
      <c r="Z215" s="1"/>
      <c r="AA215" s="1"/>
      <c r="AB215" s="5"/>
      <c r="AC215" s="4"/>
      <c r="AD215" s="3"/>
      <c r="AE215" s="2"/>
      <c r="AF215" s="1"/>
      <c r="AG215" s="45"/>
      <c r="AH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</row>
    <row r="216" spans="1:66" customFormat="1" x14ac:dyDescent="0.4">
      <c r="A216" s="1"/>
      <c r="B216" s="2"/>
      <c r="C216" s="3"/>
      <c r="D216" s="4"/>
      <c r="E216" s="5"/>
      <c r="F216" s="1"/>
      <c r="H216" s="64" t="s">
        <v>508</v>
      </c>
      <c r="I216" s="43">
        <v>204</v>
      </c>
      <c r="J216" s="43" t="s">
        <v>202</v>
      </c>
      <c r="K216" s="53">
        <f t="shared" si="10"/>
        <v>204</v>
      </c>
      <c r="L216" s="57">
        <f t="shared" si="11"/>
        <v>204</v>
      </c>
      <c r="M216" s="54" t="str">
        <f>CHAR(Table35[[#This Row],[Decimal]])</f>
        <v>Ì</v>
      </c>
      <c r="N216" s="1"/>
      <c r="O216" s="48">
        <f t="shared" si="12"/>
        <v>205</v>
      </c>
      <c r="P216" s="48" t="str" cm="1">
        <f t="array" ref="P216">CHAR(ROW(205:205))</f>
        <v>Í</v>
      </c>
      <c r="R216" s="21">
        <v>205</v>
      </c>
      <c r="S216" s="59">
        <v>244</v>
      </c>
      <c r="T216" s="48" t="str">
        <v>ô</v>
      </c>
      <c r="V216" s="1"/>
      <c r="W216" s="1"/>
      <c r="X216" s="1"/>
      <c r="Y216" s="1"/>
      <c r="Z216" s="1"/>
      <c r="AA216" s="1"/>
      <c r="AB216" s="5"/>
      <c r="AC216" s="4"/>
      <c r="AD216" s="3"/>
      <c r="AE216" s="2"/>
      <c r="AF216" s="1"/>
      <c r="AG216" s="45"/>
      <c r="AH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</row>
    <row r="217" spans="1:66" customFormat="1" x14ac:dyDescent="0.4">
      <c r="A217" s="1"/>
      <c r="B217" s="2"/>
      <c r="C217" s="3"/>
      <c r="D217" s="4"/>
      <c r="E217" s="5"/>
      <c r="F217" s="1"/>
      <c r="H217" s="64" t="s">
        <v>509</v>
      </c>
      <c r="I217" s="43">
        <v>205</v>
      </c>
      <c r="J217" s="43" t="s">
        <v>203</v>
      </c>
      <c r="K217" s="53">
        <f t="shared" si="10"/>
        <v>205</v>
      </c>
      <c r="L217" s="57">
        <f t="shared" si="11"/>
        <v>205</v>
      </c>
      <c r="M217" s="54" t="str">
        <f>CHAR(Table35[[#This Row],[Decimal]])</f>
        <v>Í</v>
      </c>
      <c r="N217" s="1"/>
      <c r="O217" s="48">
        <f t="shared" si="12"/>
        <v>206</v>
      </c>
      <c r="P217" s="48" t="str" cm="1">
        <f t="array" ref="P217">CHAR(ROW(206:206))</f>
        <v>Î</v>
      </c>
      <c r="R217" s="21">
        <v>206</v>
      </c>
      <c r="S217" s="59">
        <v>214</v>
      </c>
      <c r="T217" s="48" t="str">
        <v>Ö</v>
      </c>
      <c r="V217" s="1"/>
      <c r="W217" s="1"/>
      <c r="X217" s="1"/>
      <c r="Y217" s="1"/>
      <c r="Z217" s="1"/>
      <c r="AA217" s="1"/>
      <c r="AB217" s="5"/>
      <c r="AC217" s="4"/>
      <c r="AD217" s="3"/>
      <c r="AE217" s="2"/>
      <c r="AF217" s="1"/>
      <c r="AG217" s="45"/>
      <c r="AH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</row>
    <row r="218" spans="1:66" customFormat="1" x14ac:dyDescent="0.4">
      <c r="A218" s="1"/>
      <c r="B218" s="2"/>
      <c r="C218" s="3"/>
      <c r="D218" s="4"/>
      <c r="E218" s="5"/>
      <c r="F218" s="1"/>
      <c r="H218" s="64" t="s">
        <v>510</v>
      </c>
      <c r="I218" s="43">
        <v>206</v>
      </c>
      <c r="J218" s="43" t="s">
        <v>204</v>
      </c>
      <c r="K218" s="53">
        <f t="shared" si="10"/>
        <v>206</v>
      </c>
      <c r="L218" s="57">
        <f t="shared" si="11"/>
        <v>206</v>
      </c>
      <c r="M218" s="54" t="str">
        <f>CHAR(Table35[[#This Row],[Decimal]])</f>
        <v>Î</v>
      </c>
      <c r="N218" s="1"/>
      <c r="O218" s="48">
        <f t="shared" si="12"/>
        <v>207</v>
      </c>
      <c r="P218" s="48" t="str" cm="1">
        <f t="array" ref="P218">CHAR(ROW(207:207))</f>
        <v>Ï</v>
      </c>
      <c r="R218" s="21">
        <v>207</v>
      </c>
      <c r="S218" s="59">
        <v>246</v>
      </c>
      <c r="T218" s="48" t="str">
        <v>ö</v>
      </c>
      <c r="V218" s="1"/>
      <c r="W218" s="1"/>
      <c r="X218" s="1"/>
      <c r="Y218" s="1"/>
      <c r="Z218" s="1"/>
      <c r="AA218" s="1"/>
      <c r="AB218" s="5"/>
      <c r="AC218" s="4"/>
      <c r="AD218" s="3"/>
      <c r="AE218" s="2"/>
      <c r="AF218" s="1"/>
      <c r="AG218" s="45"/>
      <c r="AH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</row>
    <row r="219" spans="1:66" customFormat="1" x14ac:dyDescent="0.4">
      <c r="A219" s="1"/>
      <c r="B219" s="2"/>
      <c r="C219" s="3"/>
      <c r="D219" s="4"/>
      <c r="E219" s="5"/>
      <c r="F219" s="1"/>
      <c r="H219" s="64" t="s">
        <v>511</v>
      </c>
      <c r="I219" s="43">
        <v>207</v>
      </c>
      <c r="J219" s="43" t="s">
        <v>205</v>
      </c>
      <c r="K219" s="53">
        <f t="shared" si="10"/>
        <v>207</v>
      </c>
      <c r="L219" s="57">
        <f t="shared" si="11"/>
        <v>207</v>
      </c>
      <c r="M219" s="54" t="str">
        <f>CHAR(Table35[[#This Row],[Decimal]])</f>
        <v>Ï</v>
      </c>
      <c r="N219" s="1"/>
      <c r="O219" s="48">
        <f t="shared" si="12"/>
        <v>208</v>
      </c>
      <c r="P219" s="48" t="str" cm="1">
        <f t="array" ref="P219">CHAR(ROW(208:208))</f>
        <v>Ð</v>
      </c>
      <c r="R219" s="21">
        <v>208</v>
      </c>
      <c r="S219" s="59">
        <v>213</v>
      </c>
      <c r="T219" s="48" t="str">
        <v>Õ</v>
      </c>
      <c r="V219" s="1"/>
      <c r="W219" s="1"/>
      <c r="X219" s="1"/>
      <c r="Y219" s="1"/>
      <c r="Z219" s="1"/>
      <c r="AA219" s="1"/>
      <c r="AB219" s="5"/>
      <c r="AC219" s="4"/>
      <c r="AD219" s="3"/>
      <c r="AE219" s="2"/>
      <c r="AF219" s="1"/>
      <c r="AG219" s="45"/>
      <c r="AH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</row>
    <row r="220" spans="1:66" customFormat="1" x14ac:dyDescent="0.4">
      <c r="A220" s="1"/>
      <c r="B220" s="2"/>
      <c r="C220" s="3"/>
      <c r="D220" s="4"/>
      <c r="E220" s="5"/>
      <c r="F220" s="1"/>
      <c r="H220" s="64" t="s">
        <v>512</v>
      </c>
      <c r="I220" s="43">
        <v>208</v>
      </c>
      <c r="J220" s="43" t="s">
        <v>206</v>
      </c>
      <c r="K220" s="53">
        <f t="shared" si="10"/>
        <v>208</v>
      </c>
      <c r="L220" s="57">
        <f t="shared" si="11"/>
        <v>208</v>
      </c>
      <c r="M220" s="54" t="str">
        <f>CHAR(Table35[[#This Row],[Decimal]])</f>
        <v>Ð</v>
      </c>
      <c r="N220" s="1"/>
      <c r="O220" s="48">
        <f t="shared" si="12"/>
        <v>209</v>
      </c>
      <c r="P220" s="48" t="str" cm="1">
        <f t="array" ref="P220">CHAR(ROW(209:209))</f>
        <v>Ñ</v>
      </c>
      <c r="R220" s="21">
        <v>209</v>
      </c>
      <c r="S220" s="59">
        <v>245</v>
      </c>
      <c r="T220" s="48" t="str">
        <v>õ</v>
      </c>
      <c r="V220" s="1"/>
      <c r="W220" s="1"/>
      <c r="X220" s="1"/>
      <c r="Y220" s="1"/>
      <c r="Z220" s="1"/>
      <c r="AA220" s="1"/>
      <c r="AB220" s="5"/>
      <c r="AC220" s="4"/>
      <c r="AD220" s="3"/>
      <c r="AE220" s="2"/>
      <c r="AF220" s="1"/>
      <c r="AG220" s="45"/>
      <c r="AH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</row>
    <row r="221" spans="1:66" customFormat="1" x14ac:dyDescent="0.4">
      <c r="A221" s="1"/>
      <c r="B221" s="2"/>
      <c r="C221" s="3"/>
      <c r="D221" s="4"/>
      <c r="E221" s="5"/>
      <c r="F221" s="1"/>
      <c r="H221" s="64" t="s">
        <v>513</v>
      </c>
      <c r="I221" s="43">
        <v>209</v>
      </c>
      <c r="J221" s="43" t="s">
        <v>207</v>
      </c>
      <c r="K221" s="53">
        <f t="shared" si="10"/>
        <v>209</v>
      </c>
      <c r="L221" s="57">
        <f t="shared" si="11"/>
        <v>209</v>
      </c>
      <c r="M221" s="54" t="str">
        <f>CHAR(Table35[[#This Row],[Decimal]])</f>
        <v>Ñ</v>
      </c>
      <c r="N221" s="1"/>
      <c r="O221" s="48">
        <f t="shared" si="12"/>
        <v>210</v>
      </c>
      <c r="P221" s="48" t="str" cm="1">
        <f t="array" ref="P221">CHAR(ROW(210:210))</f>
        <v>Ò</v>
      </c>
      <c r="R221" s="21">
        <v>210</v>
      </c>
      <c r="S221" s="59">
        <v>216</v>
      </c>
      <c r="T221" s="48" t="str">
        <v>Ø</v>
      </c>
      <c r="V221" s="1"/>
      <c r="W221" s="1"/>
      <c r="X221" s="1"/>
      <c r="Y221" s="1"/>
      <c r="Z221" s="1"/>
      <c r="AA221" s="1"/>
      <c r="AB221" s="5"/>
      <c r="AC221" s="4"/>
      <c r="AD221" s="3"/>
      <c r="AE221" s="2"/>
      <c r="AF221" s="1"/>
      <c r="AG221" s="45"/>
      <c r="AH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</row>
    <row r="222" spans="1:66" customFormat="1" x14ac:dyDescent="0.4">
      <c r="A222" s="1"/>
      <c r="B222" s="2"/>
      <c r="C222" s="3"/>
      <c r="D222" s="4"/>
      <c r="E222" s="5"/>
      <c r="F222" s="1"/>
      <c r="H222" s="64" t="s">
        <v>514</v>
      </c>
      <c r="I222" s="43">
        <v>210</v>
      </c>
      <c r="J222" s="43" t="s">
        <v>208</v>
      </c>
      <c r="K222" s="53">
        <f t="shared" si="10"/>
        <v>210</v>
      </c>
      <c r="L222" s="57">
        <f t="shared" si="11"/>
        <v>210</v>
      </c>
      <c r="M222" s="54" t="str">
        <f>CHAR(Table35[[#This Row],[Decimal]])</f>
        <v>Ò</v>
      </c>
      <c r="N222" s="1"/>
      <c r="O222" s="48">
        <f t="shared" si="12"/>
        <v>211</v>
      </c>
      <c r="P222" s="48" t="str" cm="1">
        <f t="array" ref="P222">CHAR(ROW(211:211))</f>
        <v>Ó</v>
      </c>
      <c r="R222" s="21">
        <v>211</v>
      </c>
      <c r="S222" s="59">
        <v>248</v>
      </c>
      <c r="T222" s="48" t="str">
        <v>ø</v>
      </c>
      <c r="V222" s="1"/>
      <c r="W222" s="1"/>
      <c r="X222" s="1"/>
      <c r="Y222" s="1"/>
      <c r="Z222" s="1"/>
      <c r="AA222" s="1"/>
      <c r="AB222" s="5"/>
      <c r="AC222" s="4"/>
      <c r="AD222" s="3"/>
      <c r="AE222" s="2"/>
      <c r="AF222" s="1"/>
      <c r="AG222" s="45"/>
      <c r="AH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</row>
    <row r="223" spans="1:66" customFormat="1" x14ac:dyDescent="0.4">
      <c r="A223" s="1"/>
      <c r="B223" s="2"/>
      <c r="C223" s="3"/>
      <c r="D223" s="4"/>
      <c r="E223" s="5"/>
      <c r="F223" s="1"/>
      <c r="H223" s="64" t="s">
        <v>515</v>
      </c>
      <c r="I223" s="43">
        <v>211</v>
      </c>
      <c r="J223" s="43" t="s">
        <v>209</v>
      </c>
      <c r="K223" s="53">
        <f t="shared" si="10"/>
        <v>211</v>
      </c>
      <c r="L223" s="57">
        <f t="shared" si="11"/>
        <v>211</v>
      </c>
      <c r="M223" s="54" t="str">
        <f>CHAR(Table35[[#This Row],[Decimal]])</f>
        <v>Ó</v>
      </c>
      <c r="N223" s="1"/>
      <c r="O223" s="48">
        <f t="shared" si="12"/>
        <v>212</v>
      </c>
      <c r="P223" s="48" t="str" cm="1">
        <f t="array" ref="P223">CHAR(ROW(212:212))</f>
        <v>Ô</v>
      </c>
      <c r="R223" s="21">
        <v>212</v>
      </c>
      <c r="S223" s="59">
        <v>140</v>
      </c>
      <c r="T223" s="48" t="str">
        <v>Œ</v>
      </c>
      <c r="V223" s="1"/>
      <c r="W223" s="1"/>
      <c r="X223" s="1"/>
      <c r="Y223" s="1"/>
      <c r="Z223" s="1"/>
      <c r="AA223" s="1"/>
      <c r="AB223" s="5"/>
      <c r="AC223" s="4"/>
      <c r="AD223" s="3"/>
      <c r="AE223" s="2"/>
      <c r="AF223" s="1"/>
      <c r="AG223" s="45"/>
      <c r="AH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</row>
    <row r="224" spans="1:66" customFormat="1" x14ac:dyDescent="0.4">
      <c r="A224" s="1"/>
      <c r="B224" s="2"/>
      <c r="C224" s="3"/>
      <c r="D224" s="4"/>
      <c r="E224" s="5"/>
      <c r="F224" s="1"/>
      <c r="H224" s="64" t="s">
        <v>516</v>
      </c>
      <c r="I224" s="43">
        <v>212</v>
      </c>
      <c r="J224" s="43" t="s">
        <v>210</v>
      </c>
      <c r="K224" s="53">
        <f t="shared" si="10"/>
        <v>212</v>
      </c>
      <c r="L224" s="57">
        <f t="shared" si="11"/>
        <v>212</v>
      </c>
      <c r="M224" s="54" t="str">
        <f>CHAR(Table35[[#This Row],[Decimal]])</f>
        <v>Ô</v>
      </c>
      <c r="N224" s="1"/>
      <c r="O224" s="48">
        <f t="shared" si="12"/>
        <v>213</v>
      </c>
      <c r="P224" s="48" t="str" cm="1">
        <f t="array" ref="P224">CHAR(ROW(213:213))</f>
        <v>Õ</v>
      </c>
      <c r="R224" s="21">
        <v>213</v>
      </c>
      <c r="S224" s="59">
        <v>156</v>
      </c>
      <c r="T224" s="48" t="str">
        <v>œ</v>
      </c>
      <c r="V224" s="1"/>
      <c r="W224" s="1"/>
      <c r="X224" s="1"/>
      <c r="Y224" s="1"/>
      <c r="Z224" s="1"/>
      <c r="AA224" s="1"/>
      <c r="AB224" s="5"/>
      <c r="AC224" s="4"/>
      <c r="AD224" s="3"/>
      <c r="AE224" s="2"/>
      <c r="AF224" s="1"/>
      <c r="AG224" s="45"/>
      <c r="AH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</row>
    <row r="225" spans="1:66" customFormat="1" x14ac:dyDescent="0.4">
      <c r="A225" s="1"/>
      <c r="B225" s="2"/>
      <c r="C225" s="3"/>
      <c r="D225" s="4"/>
      <c r="E225" s="5"/>
      <c r="F225" s="1"/>
      <c r="H225" s="64" t="s">
        <v>517</v>
      </c>
      <c r="I225" s="43">
        <v>213</v>
      </c>
      <c r="J225" s="43" t="s">
        <v>211</v>
      </c>
      <c r="K225" s="53">
        <f t="shared" si="10"/>
        <v>213</v>
      </c>
      <c r="L225" s="57">
        <f t="shared" si="11"/>
        <v>213</v>
      </c>
      <c r="M225" s="54" t="str">
        <f>CHAR(Table35[[#This Row],[Decimal]])</f>
        <v>Õ</v>
      </c>
      <c r="N225" s="1"/>
      <c r="O225" s="48">
        <f t="shared" si="12"/>
        <v>214</v>
      </c>
      <c r="P225" s="48" t="str" cm="1">
        <f t="array" ref="P225">CHAR(ROW(214:214))</f>
        <v>Ö</v>
      </c>
      <c r="R225" s="21">
        <v>214</v>
      </c>
      <c r="S225" s="59">
        <v>80</v>
      </c>
      <c r="T225" s="48" t="str">
        <v>P</v>
      </c>
      <c r="V225" s="1"/>
      <c r="W225" s="1"/>
      <c r="X225" s="1"/>
      <c r="Y225" s="1"/>
      <c r="Z225" s="1"/>
      <c r="AA225" s="1"/>
      <c r="AB225" s="5"/>
      <c r="AC225" s="4"/>
      <c r="AD225" s="3"/>
      <c r="AE225" s="2"/>
      <c r="AF225" s="1"/>
      <c r="AG225" s="45"/>
      <c r="AH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</row>
    <row r="226" spans="1:66" customFormat="1" x14ac:dyDescent="0.4">
      <c r="A226" s="1"/>
      <c r="B226" s="2"/>
      <c r="C226" s="3"/>
      <c r="D226" s="4"/>
      <c r="E226" s="5"/>
      <c r="F226" s="1"/>
      <c r="H226" s="64" t="s">
        <v>518</v>
      </c>
      <c r="I226" s="43">
        <v>214</v>
      </c>
      <c r="J226" s="43" t="s">
        <v>212</v>
      </c>
      <c r="K226" s="53">
        <f t="shared" si="10"/>
        <v>214</v>
      </c>
      <c r="L226" s="57">
        <f t="shared" si="11"/>
        <v>214</v>
      </c>
      <c r="M226" s="54" t="str">
        <f>CHAR(Table35[[#This Row],[Decimal]])</f>
        <v>Ö</v>
      </c>
      <c r="N226" s="1"/>
      <c r="O226" s="48">
        <f t="shared" si="12"/>
        <v>215</v>
      </c>
      <c r="P226" s="48" t="str" cm="1">
        <f t="array" ref="P226">CHAR(ROW(215:215))</f>
        <v>×</v>
      </c>
      <c r="R226" s="21">
        <v>215</v>
      </c>
      <c r="S226" s="59">
        <v>112</v>
      </c>
      <c r="T226" s="48" t="str">
        <v>p</v>
      </c>
      <c r="V226" s="1"/>
      <c r="W226" s="1"/>
      <c r="X226" s="1"/>
      <c r="Y226" s="1"/>
      <c r="Z226" s="1"/>
      <c r="AA226" s="1"/>
      <c r="AB226" s="5"/>
      <c r="AC226" s="4"/>
      <c r="AD226" s="3"/>
      <c r="AE226" s="2"/>
      <c r="AF226" s="1"/>
      <c r="AG226" s="45"/>
      <c r="AH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</row>
    <row r="227" spans="1:66" customFormat="1" x14ac:dyDescent="0.4">
      <c r="A227" s="1"/>
      <c r="B227" s="2"/>
      <c r="C227" s="3"/>
      <c r="D227" s="4"/>
      <c r="E227" s="5"/>
      <c r="F227" s="1"/>
      <c r="H227" s="64" t="s">
        <v>519</v>
      </c>
      <c r="I227" s="43">
        <v>215</v>
      </c>
      <c r="J227" s="43" t="s">
        <v>213</v>
      </c>
      <c r="K227" s="53">
        <f t="shared" si="10"/>
        <v>215</v>
      </c>
      <c r="L227" s="57">
        <f t="shared" si="11"/>
        <v>215</v>
      </c>
      <c r="M227" s="54" t="str">
        <f>CHAR(Table35[[#This Row],[Decimal]])</f>
        <v>×</v>
      </c>
      <c r="N227" s="1"/>
      <c r="O227" s="48">
        <f t="shared" si="12"/>
        <v>216</v>
      </c>
      <c r="P227" s="48" t="str" cm="1">
        <f t="array" ref="P227">CHAR(ROW(216:216))</f>
        <v>Ø</v>
      </c>
      <c r="R227" s="21">
        <v>216</v>
      </c>
      <c r="S227" s="59">
        <v>81</v>
      </c>
      <c r="T227" s="48" t="str">
        <v>Q</v>
      </c>
      <c r="V227" s="1"/>
      <c r="W227" s="1"/>
      <c r="X227" s="1"/>
      <c r="Y227" s="1"/>
      <c r="Z227" s="1"/>
      <c r="AA227" s="1"/>
      <c r="AB227" s="5"/>
      <c r="AC227" s="4"/>
      <c r="AD227" s="3"/>
      <c r="AE227" s="2"/>
      <c r="AF227" s="1"/>
      <c r="AG227" s="45"/>
      <c r="AH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</row>
    <row r="228" spans="1:66" customFormat="1" x14ac:dyDescent="0.4">
      <c r="A228" s="1"/>
      <c r="B228" s="2"/>
      <c r="C228" s="3"/>
      <c r="D228" s="4"/>
      <c r="E228" s="5"/>
      <c r="F228" s="1"/>
      <c r="H228" s="64" t="s">
        <v>520</v>
      </c>
      <c r="I228" s="43">
        <v>216</v>
      </c>
      <c r="J228" s="43" t="s">
        <v>214</v>
      </c>
      <c r="K228" s="53">
        <f t="shared" si="10"/>
        <v>216</v>
      </c>
      <c r="L228" s="57">
        <f t="shared" si="11"/>
        <v>216</v>
      </c>
      <c r="M228" s="54" t="str">
        <f>CHAR(Table35[[#This Row],[Decimal]])</f>
        <v>Ø</v>
      </c>
      <c r="N228" s="1"/>
      <c r="O228" s="48">
        <f t="shared" si="12"/>
        <v>217</v>
      </c>
      <c r="P228" s="48" t="str" cm="1">
        <f t="array" ref="P228">CHAR(ROW(217:217))</f>
        <v>Ù</v>
      </c>
      <c r="R228" s="21">
        <v>217</v>
      </c>
      <c r="S228" s="59">
        <v>113</v>
      </c>
      <c r="T228" s="48" t="str">
        <v>q</v>
      </c>
      <c r="V228" s="1"/>
      <c r="W228" s="1"/>
      <c r="X228" s="1"/>
      <c r="Y228" s="1"/>
      <c r="Z228" s="1"/>
      <c r="AA228" s="1"/>
      <c r="AB228" s="5"/>
      <c r="AC228" s="4"/>
      <c r="AD228" s="3"/>
      <c r="AE228" s="2"/>
      <c r="AF228" s="1"/>
      <c r="AG228" s="45"/>
      <c r="AH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</row>
    <row r="229" spans="1:66" customFormat="1" x14ac:dyDescent="0.4">
      <c r="A229" s="1"/>
      <c r="B229" s="2"/>
      <c r="C229" s="3"/>
      <c r="D229" s="4"/>
      <c r="E229" s="5"/>
      <c r="F229" s="1"/>
      <c r="H229" s="64" t="s">
        <v>521</v>
      </c>
      <c r="I229" s="43">
        <v>217</v>
      </c>
      <c r="J229" s="43" t="s">
        <v>215</v>
      </c>
      <c r="K229" s="53">
        <f t="shared" si="10"/>
        <v>217</v>
      </c>
      <c r="L229" s="57">
        <f t="shared" si="11"/>
        <v>217</v>
      </c>
      <c r="M229" s="54" t="str">
        <f>CHAR(Table35[[#This Row],[Decimal]])</f>
        <v>Ù</v>
      </c>
      <c r="N229" s="1"/>
      <c r="O229" s="48">
        <f t="shared" si="12"/>
        <v>218</v>
      </c>
      <c r="P229" s="48" t="str" cm="1">
        <f t="array" ref="P229">CHAR(ROW(218:218))</f>
        <v>Ú</v>
      </c>
      <c r="R229" s="21">
        <v>218</v>
      </c>
      <c r="S229" s="59">
        <v>82</v>
      </c>
      <c r="T229" s="48" t="str">
        <v>R</v>
      </c>
      <c r="V229" s="1"/>
      <c r="W229" s="1"/>
      <c r="X229" s="1"/>
      <c r="Y229" s="1"/>
      <c r="Z229" s="1"/>
      <c r="AA229" s="1"/>
      <c r="AB229" s="5"/>
      <c r="AC229" s="4"/>
      <c r="AD229" s="3"/>
      <c r="AE229" s="2"/>
      <c r="AF229" s="1"/>
      <c r="AG229" s="45"/>
      <c r="AH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</row>
    <row r="230" spans="1:66" customFormat="1" x14ac:dyDescent="0.4">
      <c r="A230" s="1"/>
      <c r="B230" s="2"/>
      <c r="C230" s="3"/>
      <c r="D230" s="4"/>
      <c r="E230" s="5"/>
      <c r="F230" s="1"/>
      <c r="H230" s="64" t="s">
        <v>522</v>
      </c>
      <c r="I230" s="43">
        <v>218</v>
      </c>
      <c r="J230" s="43" t="s">
        <v>216</v>
      </c>
      <c r="K230" s="53">
        <f t="shared" si="10"/>
        <v>218</v>
      </c>
      <c r="L230" s="57">
        <f t="shared" si="11"/>
        <v>218</v>
      </c>
      <c r="M230" s="54" t="str">
        <f>CHAR(Table35[[#This Row],[Decimal]])</f>
        <v>Ú</v>
      </c>
      <c r="N230" s="1"/>
      <c r="O230" s="48">
        <f t="shared" si="12"/>
        <v>219</v>
      </c>
      <c r="P230" s="48" t="str" cm="1">
        <f t="array" ref="P230">CHAR(ROW(219:219))</f>
        <v>Û</v>
      </c>
      <c r="R230" s="21">
        <v>219</v>
      </c>
      <c r="S230" s="59">
        <v>114</v>
      </c>
      <c r="T230" s="48" t="str">
        <v>r</v>
      </c>
      <c r="V230" s="1"/>
      <c r="W230" s="1"/>
      <c r="X230" s="1"/>
      <c r="Y230" s="1"/>
      <c r="Z230" s="1"/>
      <c r="AA230" s="1"/>
      <c r="AB230" s="5"/>
      <c r="AC230" s="4"/>
      <c r="AD230" s="3"/>
      <c r="AE230" s="2"/>
      <c r="AF230" s="1"/>
      <c r="AG230" s="45"/>
      <c r="AH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</row>
    <row r="231" spans="1:66" customFormat="1" x14ac:dyDescent="0.4">
      <c r="A231" s="1"/>
      <c r="B231" s="2"/>
      <c r="C231" s="3"/>
      <c r="D231" s="4"/>
      <c r="E231" s="5"/>
      <c r="F231" s="1"/>
      <c r="H231" s="64" t="s">
        <v>523</v>
      </c>
      <c r="I231" s="43">
        <v>219</v>
      </c>
      <c r="J231" s="43" t="s">
        <v>217</v>
      </c>
      <c r="K231" s="53">
        <f t="shared" si="10"/>
        <v>219</v>
      </c>
      <c r="L231" s="57">
        <f t="shared" si="11"/>
        <v>219</v>
      </c>
      <c r="M231" s="54" t="str">
        <f>CHAR(Table35[[#This Row],[Decimal]])</f>
        <v>Û</v>
      </c>
      <c r="N231" s="1"/>
      <c r="O231" s="48">
        <f t="shared" si="12"/>
        <v>220</v>
      </c>
      <c r="P231" s="48" t="str" cm="1">
        <f t="array" ref="P231">CHAR(ROW(220:220))</f>
        <v>Ü</v>
      </c>
      <c r="R231" s="21">
        <v>220</v>
      </c>
      <c r="S231" s="59">
        <v>83</v>
      </c>
      <c r="T231" s="48" t="str">
        <v>S</v>
      </c>
      <c r="V231" s="1"/>
      <c r="W231" s="1"/>
      <c r="X231" s="1"/>
      <c r="Y231" s="1"/>
      <c r="Z231" s="1"/>
      <c r="AA231" s="1"/>
      <c r="AB231" s="5"/>
      <c r="AC231" s="4"/>
      <c r="AD231" s="3"/>
      <c r="AE231" s="2"/>
      <c r="AF231" s="1"/>
      <c r="AG231" s="45"/>
      <c r="AH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</row>
    <row r="232" spans="1:66" customFormat="1" x14ac:dyDescent="0.4">
      <c r="A232" s="1"/>
      <c r="B232" s="2"/>
      <c r="C232" s="3"/>
      <c r="D232" s="4"/>
      <c r="E232" s="5"/>
      <c r="F232" s="1"/>
      <c r="H232" s="64" t="s">
        <v>524</v>
      </c>
      <c r="I232" s="43">
        <v>220</v>
      </c>
      <c r="J232" s="43" t="s">
        <v>218</v>
      </c>
      <c r="K232" s="53">
        <f t="shared" si="10"/>
        <v>220</v>
      </c>
      <c r="L232" s="57">
        <f t="shared" si="11"/>
        <v>220</v>
      </c>
      <c r="M232" s="54" t="str">
        <f>CHAR(Table35[[#This Row],[Decimal]])</f>
        <v>Ü</v>
      </c>
      <c r="N232" s="1"/>
      <c r="O232" s="48">
        <f t="shared" si="12"/>
        <v>221</v>
      </c>
      <c r="P232" s="48" t="str" cm="1">
        <f t="array" ref="P232">CHAR(ROW(221:221))</f>
        <v>Ý</v>
      </c>
      <c r="R232" s="21">
        <v>221</v>
      </c>
      <c r="S232" s="59">
        <v>115</v>
      </c>
      <c r="T232" s="48" t="str">
        <v>s</v>
      </c>
      <c r="V232" s="1"/>
      <c r="W232" s="1"/>
      <c r="X232" s="1"/>
      <c r="Y232" s="1"/>
      <c r="Z232" s="1"/>
      <c r="AA232" s="1"/>
      <c r="AB232" s="5"/>
      <c r="AC232" s="4"/>
      <c r="AD232" s="3"/>
      <c r="AE232" s="2"/>
      <c r="AF232" s="1"/>
      <c r="AG232" s="45"/>
      <c r="AH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</row>
    <row r="233" spans="1:66" customFormat="1" x14ac:dyDescent="0.4">
      <c r="A233" s="1"/>
      <c r="B233" s="2"/>
      <c r="C233" s="3"/>
      <c r="D233" s="4"/>
      <c r="E233" s="5"/>
      <c r="F233" s="1"/>
      <c r="H233" s="64" t="s">
        <v>525</v>
      </c>
      <c r="I233" s="43">
        <v>221</v>
      </c>
      <c r="J233" s="43" t="s">
        <v>219</v>
      </c>
      <c r="K233" s="53">
        <f t="shared" si="10"/>
        <v>221</v>
      </c>
      <c r="L233" s="57">
        <f t="shared" si="11"/>
        <v>221</v>
      </c>
      <c r="M233" s="54" t="str">
        <f>CHAR(Table35[[#This Row],[Decimal]])</f>
        <v>Ý</v>
      </c>
      <c r="N233" s="1"/>
      <c r="O233" s="48">
        <f t="shared" si="12"/>
        <v>222</v>
      </c>
      <c r="P233" s="48" t="str" cm="1">
        <f t="array" ref="P233">CHAR(ROW(222:222))</f>
        <v>Þ</v>
      </c>
      <c r="R233" s="21">
        <v>222</v>
      </c>
      <c r="S233" s="59">
        <v>138</v>
      </c>
      <c r="T233" s="48" t="str">
        <v>Š</v>
      </c>
      <c r="V233" s="1"/>
      <c r="W233" s="1"/>
      <c r="X233" s="1"/>
      <c r="Y233" s="1"/>
      <c r="Z233" s="1"/>
      <c r="AA233" s="1"/>
      <c r="AB233" s="5"/>
      <c r="AC233" s="4"/>
      <c r="AD233" s="3"/>
      <c r="AE233" s="2"/>
      <c r="AF233" s="1"/>
      <c r="AG233" s="45"/>
      <c r="AH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</row>
    <row r="234" spans="1:66" customFormat="1" x14ac:dyDescent="0.4">
      <c r="A234" s="1"/>
      <c r="B234" s="2"/>
      <c r="C234" s="3"/>
      <c r="D234" s="4"/>
      <c r="E234" s="5"/>
      <c r="F234" s="1"/>
      <c r="H234" s="64" t="s">
        <v>526</v>
      </c>
      <c r="I234" s="43">
        <v>222</v>
      </c>
      <c r="J234" s="43" t="s">
        <v>220</v>
      </c>
      <c r="K234" s="53">
        <f t="shared" si="10"/>
        <v>222</v>
      </c>
      <c r="L234" s="57">
        <f t="shared" si="11"/>
        <v>222</v>
      </c>
      <c r="M234" s="54" t="str">
        <f>CHAR(Table35[[#This Row],[Decimal]])</f>
        <v>Þ</v>
      </c>
      <c r="N234" s="1"/>
      <c r="O234" s="48">
        <f t="shared" si="12"/>
        <v>223</v>
      </c>
      <c r="P234" s="48" t="str" cm="1">
        <f t="array" ref="P234">CHAR(ROW(223:223))</f>
        <v>ß</v>
      </c>
      <c r="R234" s="21">
        <v>223</v>
      </c>
      <c r="S234" s="59">
        <v>154</v>
      </c>
      <c r="T234" s="48" t="str">
        <v>š</v>
      </c>
      <c r="V234" s="1"/>
      <c r="W234" s="1"/>
      <c r="X234" s="1"/>
      <c r="Y234" s="1"/>
      <c r="Z234" s="1"/>
      <c r="AA234" s="1"/>
      <c r="AB234" s="5"/>
      <c r="AC234" s="4"/>
      <c r="AD234" s="3"/>
      <c r="AE234" s="2"/>
      <c r="AF234" s="1"/>
      <c r="AG234" s="45"/>
      <c r="AH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</row>
    <row r="235" spans="1:66" customFormat="1" x14ac:dyDescent="0.4">
      <c r="A235" s="1"/>
      <c r="B235" s="2"/>
      <c r="C235" s="3"/>
      <c r="D235" s="4"/>
      <c r="E235" s="5"/>
      <c r="F235" s="1"/>
      <c r="H235" s="64" t="s">
        <v>527</v>
      </c>
      <c r="I235" s="43">
        <v>223</v>
      </c>
      <c r="J235" s="43" t="s">
        <v>221</v>
      </c>
      <c r="K235" s="53">
        <f t="shared" si="10"/>
        <v>223</v>
      </c>
      <c r="L235" s="57">
        <f t="shared" si="11"/>
        <v>223</v>
      </c>
      <c r="M235" s="54" t="str">
        <f>CHAR(Table35[[#This Row],[Decimal]])</f>
        <v>ß</v>
      </c>
      <c r="N235" s="1"/>
      <c r="O235" s="48">
        <f t="shared" si="12"/>
        <v>224</v>
      </c>
      <c r="P235" s="48" t="str" cm="1">
        <f t="array" ref="P235">CHAR(ROW(224:224))</f>
        <v>à</v>
      </c>
      <c r="R235" s="21">
        <v>224</v>
      </c>
      <c r="S235" s="59">
        <v>223</v>
      </c>
      <c r="T235" s="48" t="str">
        <v>ß</v>
      </c>
      <c r="V235" s="1"/>
      <c r="W235" s="1"/>
      <c r="X235" s="1"/>
      <c r="Y235" s="1"/>
      <c r="Z235" s="1"/>
      <c r="AA235" s="1"/>
      <c r="AB235" s="5"/>
      <c r="AC235" s="4"/>
      <c r="AD235" s="3"/>
      <c r="AE235" s="2"/>
      <c r="AF235" s="1"/>
      <c r="AG235" s="45"/>
      <c r="AH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</row>
    <row r="236" spans="1:66" customFormat="1" x14ac:dyDescent="0.4">
      <c r="A236" s="1"/>
      <c r="B236" s="2"/>
      <c r="C236" s="3"/>
      <c r="D236" s="4"/>
      <c r="E236" s="5"/>
      <c r="F236" s="1"/>
      <c r="H236" s="64" t="s">
        <v>528</v>
      </c>
      <c r="I236" s="43">
        <v>224</v>
      </c>
      <c r="J236" s="43" t="s">
        <v>222</v>
      </c>
      <c r="K236" s="53">
        <f t="shared" si="10"/>
        <v>224</v>
      </c>
      <c r="L236" s="57">
        <f t="shared" si="11"/>
        <v>224</v>
      </c>
      <c r="M236" s="54" t="str">
        <f>CHAR(Table35[[#This Row],[Decimal]])</f>
        <v>à</v>
      </c>
      <c r="N236" s="1"/>
      <c r="O236" s="48">
        <f t="shared" si="12"/>
        <v>225</v>
      </c>
      <c r="P236" s="48" t="str" cm="1">
        <f t="array" ref="P236">CHAR(ROW(225:225))</f>
        <v>á</v>
      </c>
      <c r="R236" s="21">
        <v>225</v>
      </c>
      <c r="S236" s="59">
        <v>84</v>
      </c>
      <c r="T236" s="48" t="str">
        <v>T</v>
      </c>
      <c r="V236" s="1"/>
      <c r="W236" s="1"/>
      <c r="X236" s="1"/>
      <c r="Y236" s="1"/>
      <c r="Z236" s="1"/>
      <c r="AA236" s="1"/>
      <c r="AB236" s="5"/>
      <c r="AC236" s="4"/>
      <c r="AD236" s="3"/>
      <c r="AE236" s="2"/>
      <c r="AF236" s="1"/>
      <c r="AG236" s="45"/>
      <c r="AH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</row>
    <row r="237" spans="1:66" customFormat="1" x14ac:dyDescent="0.4">
      <c r="A237" s="1"/>
      <c r="B237" s="2"/>
      <c r="C237" s="3"/>
      <c r="D237" s="4"/>
      <c r="E237" s="5"/>
      <c r="F237" s="1"/>
      <c r="H237" s="64" t="s">
        <v>529</v>
      </c>
      <c r="I237" s="43">
        <v>225</v>
      </c>
      <c r="J237" s="43" t="s">
        <v>223</v>
      </c>
      <c r="K237" s="53">
        <f t="shared" si="10"/>
        <v>225</v>
      </c>
      <c r="L237" s="57">
        <f t="shared" si="11"/>
        <v>225</v>
      </c>
      <c r="M237" s="54" t="str">
        <f>CHAR(Table35[[#This Row],[Decimal]])</f>
        <v>á</v>
      </c>
      <c r="N237" s="1"/>
      <c r="O237" s="48">
        <f t="shared" si="12"/>
        <v>226</v>
      </c>
      <c r="P237" s="48" t="str" cm="1">
        <f t="array" ref="P237">CHAR(ROW(226:226))</f>
        <v>â</v>
      </c>
      <c r="R237" s="21">
        <v>226</v>
      </c>
      <c r="S237" s="59">
        <v>116</v>
      </c>
      <c r="T237" s="48" t="str">
        <v>t</v>
      </c>
      <c r="V237" s="1"/>
      <c r="W237" s="1"/>
      <c r="X237" s="1"/>
      <c r="Y237" s="1"/>
      <c r="Z237" s="1"/>
      <c r="AA237" s="1"/>
      <c r="AB237" s="5"/>
      <c r="AC237" s="4"/>
      <c r="AD237" s="3"/>
      <c r="AE237" s="2"/>
      <c r="AF237" s="1"/>
      <c r="AG237" s="45"/>
      <c r="AH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</row>
    <row r="238" spans="1:66" customFormat="1" x14ac:dyDescent="0.4">
      <c r="A238" s="1"/>
      <c r="B238" s="2"/>
      <c r="C238" s="3"/>
      <c r="D238" s="4"/>
      <c r="E238" s="5"/>
      <c r="F238" s="1"/>
      <c r="H238" s="64" t="s">
        <v>530</v>
      </c>
      <c r="I238" s="43">
        <v>226</v>
      </c>
      <c r="J238" s="43" t="s">
        <v>224</v>
      </c>
      <c r="K238" s="53">
        <f t="shared" si="10"/>
        <v>226</v>
      </c>
      <c r="L238" s="57">
        <f t="shared" si="11"/>
        <v>226</v>
      </c>
      <c r="M238" s="54" t="str">
        <f>CHAR(Table35[[#This Row],[Decimal]])</f>
        <v>â</v>
      </c>
      <c r="N238" s="1"/>
      <c r="O238" s="48">
        <f t="shared" si="12"/>
        <v>227</v>
      </c>
      <c r="P238" s="48" t="str" cm="1">
        <f t="array" ref="P238">CHAR(ROW(227:227))</f>
        <v>ã</v>
      </c>
      <c r="R238" s="21">
        <v>227</v>
      </c>
      <c r="S238" s="59">
        <v>222</v>
      </c>
      <c r="T238" s="48" t="str">
        <v>Þ</v>
      </c>
      <c r="V238" s="1"/>
      <c r="W238" s="1"/>
      <c r="X238" s="1"/>
      <c r="Y238" s="1"/>
      <c r="Z238" s="1"/>
      <c r="AA238" s="1"/>
      <c r="AB238" s="5"/>
      <c r="AC238" s="4"/>
      <c r="AD238" s="3"/>
      <c r="AE238" s="2"/>
      <c r="AF238" s="1"/>
      <c r="AG238" s="45"/>
      <c r="AH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</row>
    <row r="239" spans="1:66" customFormat="1" x14ac:dyDescent="0.4">
      <c r="A239" s="1"/>
      <c r="B239" s="2"/>
      <c r="C239" s="3"/>
      <c r="D239" s="4"/>
      <c r="E239" s="5"/>
      <c r="F239" s="1"/>
      <c r="H239" s="64" t="s">
        <v>531</v>
      </c>
      <c r="I239" s="43">
        <v>227</v>
      </c>
      <c r="J239" s="43" t="s">
        <v>225</v>
      </c>
      <c r="K239" s="53">
        <f t="shared" si="10"/>
        <v>227</v>
      </c>
      <c r="L239" s="57">
        <f t="shared" si="11"/>
        <v>227</v>
      </c>
      <c r="M239" s="54" t="str">
        <f>CHAR(Table35[[#This Row],[Decimal]])</f>
        <v>ã</v>
      </c>
      <c r="N239" s="1"/>
      <c r="O239" s="48">
        <f t="shared" si="12"/>
        <v>228</v>
      </c>
      <c r="P239" s="48" t="str" cm="1">
        <f t="array" ref="P239">CHAR(ROW(228:228))</f>
        <v>ä</v>
      </c>
      <c r="R239" s="21">
        <v>228</v>
      </c>
      <c r="S239" s="59">
        <v>254</v>
      </c>
      <c r="T239" s="48" t="str">
        <v>þ</v>
      </c>
      <c r="V239" s="1"/>
      <c r="W239" s="1"/>
      <c r="X239" s="1"/>
      <c r="Y239" s="1"/>
      <c r="Z239" s="1"/>
      <c r="AA239" s="1"/>
      <c r="AB239" s="5"/>
      <c r="AC239" s="4"/>
      <c r="AD239" s="3"/>
      <c r="AE239" s="2"/>
      <c r="AF239" s="1"/>
      <c r="AG239" s="45"/>
      <c r="AH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</row>
    <row r="240" spans="1:66" customFormat="1" x14ac:dyDescent="0.4">
      <c r="A240" s="1"/>
      <c r="B240" s="2"/>
      <c r="C240" s="3"/>
      <c r="D240" s="4"/>
      <c r="E240" s="5"/>
      <c r="F240" s="1"/>
      <c r="H240" s="64" t="s">
        <v>532</v>
      </c>
      <c r="I240" s="43">
        <v>228</v>
      </c>
      <c r="J240" s="43" t="s">
        <v>226</v>
      </c>
      <c r="K240" s="53">
        <f t="shared" si="10"/>
        <v>228</v>
      </c>
      <c r="L240" s="57">
        <f t="shared" si="11"/>
        <v>228</v>
      </c>
      <c r="M240" s="54" t="str">
        <f>CHAR(Table35[[#This Row],[Decimal]])</f>
        <v>ä</v>
      </c>
      <c r="N240" s="1"/>
      <c r="O240" s="48">
        <f t="shared" si="12"/>
        <v>229</v>
      </c>
      <c r="P240" s="48" t="str" cm="1">
        <f t="array" ref="P240">CHAR(ROW(229:229))</f>
        <v>å</v>
      </c>
      <c r="R240" s="21">
        <v>229</v>
      </c>
      <c r="S240" s="59">
        <v>153</v>
      </c>
      <c r="T240" s="48" t="str">
        <v>™</v>
      </c>
      <c r="V240" s="1"/>
      <c r="W240" s="1"/>
      <c r="X240" s="1"/>
      <c r="Y240" s="1"/>
      <c r="Z240" s="1"/>
      <c r="AA240" s="1"/>
      <c r="AB240" s="5"/>
      <c r="AC240" s="4"/>
      <c r="AD240" s="3"/>
      <c r="AE240" s="2"/>
      <c r="AF240" s="1"/>
      <c r="AG240" s="45"/>
      <c r="AH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</row>
    <row r="241" spans="1:66" customFormat="1" x14ac:dyDescent="0.4">
      <c r="A241" s="1"/>
      <c r="B241" s="2"/>
      <c r="C241" s="3"/>
      <c r="D241" s="4"/>
      <c r="E241" s="5"/>
      <c r="F241" s="1"/>
      <c r="H241" s="64" t="s">
        <v>533</v>
      </c>
      <c r="I241" s="43">
        <v>229</v>
      </c>
      <c r="J241" s="43" t="s">
        <v>227</v>
      </c>
      <c r="K241" s="53">
        <f t="shared" si="10"/>
        <v>229</v>
      </c>
      <c r="L241" s="57">
        <f t="shared" si="11"/>
        <v>229</v>
      </c>
      <c r="M241" s="54" t="str">
        <f>CHAR(Table35[[#This Row],[Decimal]])</f>
        <v>å</v>
      </c>
      <c r="N241" s="1"/>
      <c r="O241" s="48">
        <f t="shared" si="12"/>
        <v>230</v>
      </c>
      <c r="P241" s="48" t="str" cm="1">
        <f t="array" ref="P241">CHAR(ROW(230:230))</f>
        <v>æ</v>
      </c>
      <c r="R241" s="21">
        <v>230</v>
      </c>
      <c r="S241" s="59">
        <v>85</v>
      </c>
      <c r="T241" s="48" t="str">
        <v>U</v>
      </c>
      <c r="V241" s="1"/>
      <c r="W241" s="1"/>
      <c r="X241" s="1"/>
      <c r="Y241" s="1"/>
      <c r="Z241" s="1"/>
      <c r="AA241" s="1"/>
      <c r="AB241" s="5"/>
      <c r="AC241" s="4"/>
      <c r="AD241" s="3"/>
      <c r="AE241" s="2"/>
      <c r="AF241" s="1"/>
      <c r="AG241" s="45"/>
      <c r="AH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</row>
    <row r="242" spans="1:66" customFormat="1" x14ac:dyDescent="0.4">
      <c r="A242" s="1"/>
      <c r="B242" s="2"/>
      <c r="C242" s="3"/>
      <c r="D242" s="4"/>
      <c r="E242" s="5"/>
      <c r="F242" s="1"/>
      <c r="H242" s="64" t="s">
        <v>534</v>
      </c>
      <c r="I242" s="43">
        <v>230</v>
      </c>
      <c r="J242" s="43" t="s">
        <v>228</v>
      </c>
      <c r="K242" s="53">
        <f t="shared" si="10"/>
        <v>230</v>
      </c>
      <c r="L242" s="57">
        <f t="shared" si="11"/>
        <v>230</v>
      </c>
      <c r="M242" s="54" t="str">
        <f>CHAR(Table35[[#This Row],[Decimal]])</f>
        <v>æ</v>
      </c>
      <c r="N242" s="1"/>
      <c r="O242" s="48">
        <f t="shared" si="12"/>
        <v>231</v>
      </c>
      <c r="P242" s="48" t="str" cm="1">
        <f t="array" ref="P242">CHAR(ROW(231:231))</f>
        <v>ç</v>
      </c>
      <c r="R242" s="21">
        <v>231</v>
      </c>
      <c r="S242" s="59">
        <v>117</v>
      </c>
      <c r="T242" s="48" t="str">
        <v>u</v>
      </c>
      <c r="V242" s="1"/>
      <c r="W242" s="1"/>
      <c r="X242" s="1"/>
      <c r="Y242" s="1"/>
      <c r="Z242" s="1"/>
      <c r="AA242" s="1"/>
      <c r="AB242" s="5"/>
      <c r="AC242" s="4"/>
      <c r="AD242" s="3"/>
      <c r="AE242" s="2"/>
      <c r="AF242" s="1"/>
      <c r="AG242" s="45"/>
      <c r="AH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</row>
    <row r="243" spans="1:66" customFormat="1" x14ac:dyDescent="0.4">
      <c r="A243" s="1"/>
      <c r="B243" s="2"/>
      <c r="C243" s="3"/>
      <c r="D243" s="4"/>
      <c r="E243" s="5"/>
      <c r="F243" s="1"/>
      <c r="H243" s="64" t="s">
        <v>535</v>
      </c>
      <c r="I243" s="43">
        <v>231</v>
      </c>
      <c r="J243" s="43" t="s">
        <v>229</v>
      </c>
      <c r="K243" s="53">
        <f t="shared" si="10"/>
        <v>231</v>
      </c>
      <c r="L243" s="57">
        <f t="shared" si="11"/>
        <v>231</v>
      </c>
      <c r="M243" s="54" t="str">
        <f>CHAR(Table35[[#This Row],[Decimal]])</f>
        <v>ç</v>
      </c>
      <c r="N243" s="1"/>
      <c r="O243" s="48">
        <f t="shared" si="12"/>
        <v>232</v>
      </c>
      <c r="P243" s="48" t="str" cm="1">
        <f t="array" ref="P243">CHAR(ROW(232:232))</f>
        <v>è</v>
      </c>
      <c r="R243" s="21">
        <v>232</v>
      </c>
      <c r="S243" s="59">
        <v>218</v>
      </c>
      <c r="T243" s="48" t="str">
        <v>Ú</v>
      </c>
      <c r="V243" s="1"/>
      <c r="W243" s="1"/>
      <c r="X243" s="1"/>
      <c r="Y243" s="1"/>
      <c r="Z243" s="1"/>
      <c r="AA243" s="1"/>
      <c r="AB243" s="5"/>
      <c r="AC243" s="4"/>
      <c r="AD243" s="3"/>
      <c r="AE243" s="2"/>
      <c r="AF243" s="1"/>
      <c r="AG243" s="45"/>
      <c r="AH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</row>
    <row r="244" spans="1:66" customFormat="1" x14ac:dyDescent="0.4">
      <c r="A244" s="1"/>
      <c r="B244" s="2"/>
      <c r="C244" s="3"/>
      <c r="D244" s="4"/>
      <c r="E244" s="5"/>
      <c r="F244" s="1"/>
      <c r="H244" s="64" t="s">
        <v>536</v>
      </c>
      <c r="I244" s="43">
        <v>232</v>
      </c>
      <c r="J244" s="43" t="s">
        <v>230</v>
      </c>
      <c r="K244" s="53">
        <f t="shared" si="10"/>
        <v>232</v>
      </c>
      <c r="L244" s="57">
        <f t="shared" si="11"/>
        <v>232</v>
      </c>
      <c r="M244" s="54" t="str">
        <f>CHAR(Table35[[#This Row],[Decimal]])</f>
        <v>è</v>
      </c>
      <c r="N244" s="1"/>
      <c r="O244" s="48">
        <f t="shared" si="12"/>
        <v>233</v>
      </c>
      <c r="P244" s="48" t="str" cm="1">
        <f t="array" ref="P244">CHAR(ROW(233:233))</f>
        <v>é</v>
      </c>
      <c r="R244" s="21">
        <v>233</v>
      </c>
      <c r="S244" s="59">
        <v>250</v>
      </c>
      <c r="T244" s="48" t="str">
        <v>ú</v>
      </c>
      <c r="V244" s="1"/>
      <c r="W244" s="1"/>
      <c r="X244" s="1"/>
      <c r="Y244" s="1"/>
      <c r="Z244" s="1"/>
      <c r="AA244" s="1"/>
      <c r="AB244" s="5"/>
      <c r="AC244" s="4"/>
      <c r="AD244" s="3"/>
      <c r="AE244" s="2"/>
      <c r="AF244" s="1"/>
      <c r="AG244" s="45"/>
      <c r="AH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</row>
    <row r="245" spans="1:66" customFormat="1" x14ac:dyDescent="0.4">
      <c r="A245" s="1"/>
      <c r="B245" s="2"/>
      <c r="C245" s="3"/>
      <c r="D245" s="4"/>
      <c r="E245" s="5"/>
      <c r="F245" s="1"/>
      <c r="H245" s="64" t="s">
        <v>537</v>
      </c>
      <c r="I245" s="43">
        <v>233</v>
      </c>
      <c r="J245" s="43" t="s">
        <v>231</v>
      </c>
      <c r="K245" s="53">
        <f t="shared" si="10"/>
        <v>233</v>
      </c>
      <c r="L245" s="57">
        <f t="shared" si="11"/>
        <v>233</v>
      </c>
      <c r="M245" s="54" t="str">
        <f>CHAR(Table35[[#This Row],[Decimal]])</f>
        <v>é</v>
      </c>
      <c r="N245" s="1"/>
      <c r="O245" s="48">
        <f t="shared" si="12"/>
        <v>234</v>
      </c>
      <c r="P245" s="48" t="str" cm="1">
        <f t="array" ref="P245">CHAR(ROW(234:234))</f>
        <v>ê</v>
      </c>
      <c r="R245" s="21">
        <v>234</v>
      </c>
      <c r="S245" s="59">
        <v>217</v>
      </c>
      <c r="T245" s="48" t="str">
        <v>Ù</v>
      </c>
      <c r="V245" s="1"/>
      <c r="W245" s="1"/>
      <c r="X245" s="1"/>
      <c r="Y245" s="1"/>
      <c r="Z245" s="1"/>
      <c r="AA245" s="1"/>
      <c r="AB245" s="5"/>
      <c r="AC245" s="4"/>
      <c r="AD245" s="3"/>
      <c r="AE245" s="2"/>
      <c r="AF245" s="1"/>
      <c r="AG245" s="45"/>
      <c r="AH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</row>
    <row r="246" spans="1:66" customFormat="1" x14ac:dyDescent="0.4">
      <c r="A246" s="1"/>
      <c r="B246" s="2"/>
      <c r="C246" s="3"/>
      <c r="D246" s="4"/>
      <c r="E246" s="5"/>
      <c r="F246" s="1"/>
      <c r="H246" s="64" t="s">
        <v>538</v>
      </c>
      <c r="I246" s="43">
        <v>234</v>
      </c>
      <c r="J246" s="43" t="s">
        <v>232</v>
      </c>
      <c r="K246" s="53">
        <f t="shared" si="10"/>
        <v>234</v>
      </c>
      <c r="L246" s="57">
        <f t="shared" si="11"/>
        <v>234</v>
      </c>
      <c r="M246" s="54" t="str">
        <f>CHAR(Table35[[#This Row],[Decimal]])</f>
        <v>ê</v>
      </c>
      <c r="N246" s="1"/>
      <c r="O246" s="48">
        <f t="shared" si="12"/>
        <v>235</v>
      </c>
      <c r="P246" s="48" t="str" cm="1">
        <f t="array" ref="P246">CHAR(ROW(235:235))</f>
        <v>ë</v>
      </c>
      <c r="R246" s="21">
        <v>235</v>
      </c>
      <c r="S246" s="59">
        <v>249</v>
      </c>
      <c r="T246" s="48" t="str">
        <v>ù</v>
      </c>
      <c r="V246" s="1"/>
      <c r="W246" s="1"/>
      <c r="X246" s="1"/>
      <c r="Y246" s="1"/>
      <c r="Z246" s="1"/>
      <c r="AA246" s="1"/>
      <c r="AB246" s="5"/>
      <c r="AC246" s="4"/>
      <c r="AD246" s="3"/>
      <c r="AE246" s="2"/>
      <c r="AF246" s="1"/>
      <c r="AG246" s="45"/>
      <c r="AH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</row>
    <row r="247" spans="1:66" customFormat="1" x14ac:dyDescent="0.4">
      <c r="A247" s="1"/>
      <c r="B247" s="2"/>
      <c r="C247" s="3"/>
      <c r="D247" s="4"/>
      <c r="E247" s="5"/>
      <c r="F247" s="1"/>
      <c r="H247" s="64" t="s">
        <v>539</v>
      </c>
      <c r="I247" s="43">
        <v>235</v>
      </c>
      <c r="J247" s="43" t="s">
        <v>233</v>
      </c>
      <c r="K247" s="53">
        <f t="shared" si="10"/>
        <v>235</v>
      </c>
      <c r="L247" s="57">
        <f t="shared" si="11"/>
        <v>235</v>
      </c>
      <c r="M247" s="54" t="str">
        <f>CHAR(Table35[[#This Row],[Decimal]])</f>
        <v>ë</v>
      </c>
      <c r="N247" s="1"/>
      <c r="O247" s="48">
        <f t="shared" si="12"/>
        <v>236</v>
      </c>
      <c r="P247" s="48" t="str" cm="1">
        <f t="array" ref="P247">CHAR(ROW(236:236))</f>
        <v>ì</v>
      </c>
      <c r="R247" s="21">
        <v>236</v>
      </c>
      <c r="S247" s="59">
        <v>219</v>
      </c>
      <c r="T247" s="48" t="str">
        <v>Û</v>
      </c>
      <c r="V247" s="1"/>
      <c r="W247" s="1"/>
      <c r="X247" s="1"/>
      <c r="Y247" s="1"/>
      <c r="Z247" s="1"/>
      <c r="AA247" s="1"/>
      <c r="AB247" s="5"/>
      <c r="AC247" s="4"/>
      <c r="AD247" s="3"/>
      <c r="AE247" s="2"/>
      <c r="AF247" s="1"/>
      <c r="AG247" s="45"/>
      <c r="AH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</row>
    <row r="248" spans="1:66" customFormat="1" x14ac:dyDescent="0.4">
      <c r="A248" s="1"/>
      <c r="B248" s="2"/>
      <c r="C248" s="3"/>
      <c r="D248" s="4"/>
      <c r="E248" s="5"/>
      <c r="F248" s="1"/>
      <c r="H248" s="64" t="s">
        <v>540</v>
      </c>
      <c r="I248" s="43">
        <v>236</v>
      </c>
      <c r="J248" s="43" t="s">
        <v>234</v>
      </c>
      <c r="K248" s="53">
        <f t="shared" si="10"/>
        <v>236</v>
      </c>
      <c r="L248" s="57">
        <f t="shared" si="11"/>
        <v>236</v>
      </c>
      <c r="M248" s="54" t="str">
        <f>CHAR(Table35[[#This Row],[Decimal]])</f>
        <v>ì</v>
      </c>
      <c r="N248" s="1"/>
      <c r="O248" s="48">
        <f t="shared" si="12"/>
        <v>237</v>
      </c>
      <c r="P248" s="48" t="str" cm="1">
        <f t="array" ref="P248">CHAR(ROW(237:237))</f>
        <v>í</v>
      </c>
      <c r="R248" s="21">
        <v>237</v>
      </c>
      <c r="S248" s="59">
        <v>251</v>
      </c>
      <c r="T248" s="48" t="str">
        <v>û</v>
      </c>
      <c r="V248" s="1"/>
      <c r="W248" s="1"/>
      <c r="X248" s="1"/>
      <c r="Y248" s="1"/>
      <c r="Z248" s="1"/>
      <c r="AA248" s="1"/>
      <c r="AB248" s="5"/>
      <c r="AC248" s="4"/>
      <c r="AD248" s="3"/>
      <c r="AE248" s="2"/>
      <c r="AF248" s="1"/>
      <c r="AG248" s="45"/>
      <c r="AH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</row>
    <row r="249" spans="1:66" customFormat="1" x14ac:dyDescent="0.4">
      <c r="A249" s="1"/>
      <c r="B249" s="2"/>
      <c r="C249" s="3"/>
      <c r="D249" s="4"/>
      <c r="E249" s="5"/>
      <c r="F249" s="1"/>
      <c r="H249" s="64" t="s">
        <v>541</v>
      </c>
      <c r="I249" s="43">
        <v>237</v>
      </c>
      <c r="J249" s="43" t="s">
        <v>235</v>
      </c>
      <c r="K249" s="53">
        <f t="shared" si="10"/>
        <v>237</v>
      </c>
      <c r="L249" s="57">
        <f t="shared" si="11"/>
        <v>237</v>
      </c>
      <c r="M249" s="54" t="str">
        <f>CHAR(Table35[[#This Row],[Decimal]])</f>
        <v>í</v>
      </c>
      <c r="N249" s="1"/>
      <c r="O249" s="48">
        <f t="shared" si="12"/>
        <v>238</v>
      </c>
      <c r="P249" s="48" t="str" cm="1">
        <f t="array" ref="P249">CHAR(ROW(238:238))</f>
        <v>î</v>
      </c>
      <c r="R249" s="21">
        <v>238</v>
      </c>
      <c r="S249" s="59">
        <v>220</v>
      </c>
      <c r="T249" s="48" t="str">
        <v>Ü</v>
      </c>
      <c r="V249" s="1"/>
      <c r="W249" s="1"/>
      <c r="X249" s="1"/>
      <c r="Y249" s="1"/>
      <c r="Z249" s="1"/>
      <c r="AA249" s="1"/>
      <c r="AB249" s="5"/>
      <c r="AC249" s="4"/>
      <c r="AD249" s="3"/>
      <c r="AE249" s="2"/>
      <c r="AF249" s="1"/>
      <c r="AG249" s="45"/>
      <c r="AH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</row>
    <row r="250" spans="1:66" customFormat="1" ht="14.25" customHeight="1" x14ac:dyDescent="0.4">
      <c r="A250" s="1"/>
      <c r="B250" s="2"/>
      <c r="C250" s="3"/>
      <c r="D250" s="4"/>
      <c r="E250" s="5"/>
      <c r="F250" s="1"/>
      <c r="H250" s="64" t="s">
        <v>542</v>
      </c>
      <c r="I250" s="43">
        <v>238</v>
      </c>
      <c r="J250" s="43" t="s">
        <v>236</v>
      </c>
      <c r="K250" s="53">
        <f t="shared" si="10"/>
        <v>238</v>
      </c>
      <c r="L250" s="57">
        <f t="shared" si="11"/>
        <v>238</v>
      </c>
      <c r="M250" s="54" t="str">
        <f>CHAR(Table35[[#This Row],[Decimal]])</f>
        <v>î</v>
      </c>
      <c r="N250" s="1"/>
      <c r="O250" s="48">
        <f t="shared" si="12"/>
        <v>239</v>
      </c>
      <c r="P250" s="48" t="str" cm="1">
        <f t="array" ref="P250">CHAR(ROW(239:239))</f>
        <v>ï</v>
      </c>
      <c r="R250" s="21">
        <v>239</v>
      </c>
      <c r="S250" s="59">
        <v>252</v>
      </c>
      <c r="T250" s="48" t="str">
        <v>ü</v>
      </c>
      <c r="V250" s="1"/>
      <c r="W250" s="1"/>
      <c r="X250" s="1"/>
      <c r="Y250" s="1"/>
      <c r="Z250" s="1"/>
      <c r="AA250" s="1"/>
      <c r="AB250" s="5"/>
      <c r="AC250" s="4"/>
      <c r="AD250" s="3"/>
      <c r="AE250" s="2"/>
      <c r="AF250" s="1"/>
      <c r="AG250" s="45"/>
      <c r="AH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</row>
    <row r="251" spans="1:66" customFormat="1" ht="14.25" customHeight="1" x14ac:dyDescent="0.4">
      <c r="A251" s="1"/>
      <c r="B251" s="2"/>
      <c r="C251" s="3"/>
      <c r="D251" s="4"/>
      <c r="E251" s="5"/>
      <c r="F251" s="1"/>
      <c r="H251" s="64" t="s">
        <v>543</v>
      </c>
      <c r="I251" s="43">
        <v>239</v>
      </c>
      <c r="J251" s="43" t="s">
        <v>237</v>
      </c>
      <c r="K251" s="53">
        <f t="shared" si="10"/>
        <v>239</v>
      </c>
      <c r="L251" s="57">
        <f t="shared" si="11"/>
        <v>239</v>
      </c>
      <c r="M251" s="54" t="str">
        <f>CHAR(Table35[[#This Row],[Decimal]])</f>
        <v>ï</v>
      </c>
      <c r="N251" s="1"/>
      <c r="O251" s="48">
        <f t="shared" si="12"/>
        <v>240</v>
      </c>
      <c r="P251" s="48" t="str" cm="1">
        <f t="array" ref="P251">CHAR(ROW(240:240))</f>
        <v>ð</v>
      </c>
      <c r="R251" s="21">
        <v>240</v>
      </c>
      <c r="S251" s="59">
        <v>86</v>
      </c>
      <c r="T251" s="48" t="str">
        <v>V</v>
      </c>
      <c r="V251" s="1"/>
      <c r="W251" s="1"/>
      <c r="X251" s="1"/>
      <c r="Y251" s="1"/>
      <c r="Z251" s="1"/>
      <c r="AA251" s="1"/>
      <c r="AB251" s="5"/>
      <c r="AC251" s="4"/>
      <c r="AD251" s="3"/>
      <c r="AE251" s="2"/>
      <c r="AF251" s="1"/>
      <c r="AG251" s="45"/>
      <c r="AH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</row>
    <row r="252" spans="1:66" customFormat="1" ht="14.25" customHeight="1" x14ac:dyDescent="0.4">
      <c r="A252" s="1"/>
      <c r="B252" s="2"/>
      <c r="C252" s="3"/>
      <c r="D252" s="4"/>
      <c r="E252" s="5"/>
      <c r="F252" s="1"/>
      <c r="H252" s="64" t="s">
        <v>544</v>
      </c>
      <c r="I252" s="43">
        <v>240</v>
      </c>
      <c r="J252" s="43" t="s">
        <v>238</v>
      </c>
      <c r="K252" s="53">
        <f t="shared" si="10"/>
        <v>240</v>
      </c>
      <c r="L252" s="57">
        <f t="shared" si="11"/>
        <v>240</v>
      </c>
      <c r="M252" s="54" t="str">
        <f>CHAR(Table35[[#This Row],[Decimal]])</f>
        <v>ð</v>
      </c>
      <c r="N252" s="1"/>
      <c r="O252" s="48">
        <f t="shared" si="12"/>
        <v>241</v>
      </c>
      <c r="P252" s="48" t="str" cm="1">
        <f t="array" ref="P252">CHAR(ROW(241:241))</f>
        <v>ñ</v>
      </c>
      <c r="R252" s="21">
        <v>241</v>
      </c>
      <c r="S252" s="59">
        <v>118</v>
      </c>
      <c r="T252" s="48" t="str">
        <v>v</v>
      </c>
      <c r="V252" s="1"/>
      <c r="W252" s="1"/>
      <c r="X252" s="1"/>
      <c r="Y252" s="1"/>
      <c r="Z252" s="1"/>
      <c r="AA252" s="1"/>
      <c r="AB252" s="5"/>
      <c r="AC252" s="4"/>
      <c r="AD252" s="3"/>
      <c r="AE252" s="2"/>
      <c r="AF252" s="1"/>
      <c r="AG252" s="45"/>
      <c r="AH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</row>
    <row r="253" spans="1:66" customFormat="1" ht="14.25" customHeight="1" x14ac:dyDescent="0.4">
      <c r="A253" s="1"/>
      <c r="B253" s="2"/>
      <c r="C253" s="3"/>
      <c r="D253" s="4"/>
      <c r="E253" s="5"/>
      <c r="F253" s="1"/>
      <c r="H253" s="64" t="s">
        <v>545</v>
      </c>
      <c r="I253" s="43">
        <v>241</v>
      </c>
      <c r="J253" s="43" t="s">
        <v>239</v>
      </c>
      <c r="K253" s="53">
        <f t="shared" si="10"/>
        <v>241</v>
      </c>
      <c r="L253" s="57">
        <f t="shared" si="11"/>
        <v>241</v>
      </c>
      <c r="M253" s="54" t="str">
        <f>CHAR(Table35[[#This Row],[Decimal]])</f>
        <v>ñ</v>
      </c>
      <c r="N253" s="1"/>
      <c r="O253" s="48">
        <f t="shared" si="12"/>
        <v>242</v>
      </c>
      <c r="P253" s="48" t="str" cm="1">
        <f t="array" ref="P253">CHAR(ROW(242:242))</f>
        <v>ò</v>
      </c>
      <c r="R253" s="21">
        <v>242</v>
      </c>
      <c r="S253" s="59">
        <v>87</v>
      </c>
      <c r="T253" s="48" t="str">
        <v>W</v>
      </c>
      <c r="V253" s="1"/>
      <c r="W253" s="1"/>
      <c r="X253" s="1"/>
      <c r="Y253" s="1"/>
      <c r="Z253" s="1"/>
      <c r="AA253" s="1"/>
      <c r="AB253" s="5"/>
      <c r="AC253" s="4"/>
      <c r="AD253" s="3"/>
      <c r="AE253" s="2"/>
      <c r="AF253" s="1"/>
      <c r="AG253" s="45"/>
      <c r="AH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</row>
    <row r="254" spans="1:66" customFormat="1" ht="14.25" customHeight="1" x14ac:dyDescent="0.4">
      <c r="A254" s="1"/>
      <c r="B254" s="2"/>
      <c r="C254" s="3"/>
      <c r="D254" s="4"/>
      <c r="E254" s="5"/>
      <c r="F254" s="1"/>
      <c r="H254" s="64" t="s">
        <v>546</v>
      </c>
      <c r="I254" s="43">
        <v>242</v>
      </c>
      <c r="J254" s="43" t="s">
        <v>240</v>
      </c>
      <c r="K254" s="53">
        <f t="shared" si="10"/>
        <v>242</v>
      </c>
      <c r="L254" s="57">
        <f t="shared" si="11"/>
        <v>242</v>
      </c>
      <c r="M254" s="54" t="str">
        <f>CHAR(Table35[[#This Row],[Decimal]])</f>
        <v>ò</v>
      </c>
      <c r="N254" s="1"/>
      <c r="O254" s="48">
        <f t="shared" si="12"/>
        <v>243</v>
      </c>
      <c r="P254" s="48" t="str" cm="1">
        <f t="array" ref="P254">CHAR(ROW(243:243))</f>
        <v>ó</v>
      </c>
      <c r="R254" s="21">
        <v>243</v>
      </c>
      <c r="S254" s="59">
        <v>119</v>
      </c>
      <c r="T254" s="48" t="str">
        <v>w</v>
      </c>
      <c r="V254" s="1"/>
      <c r="W254" s="1"/>
      <c r="X254" s="1"/>
      <c r="Y254" s="1"/>
      <c r="Z254" s="1"/>
      <c r="AA254" s="1"/>
      <c r="AB254" s="5"/>
      <c r="AC254" s="4"/>
      <c r="AD254" s="3"/>
      <c r="AE254" s="2"/>
      <c r="AF254" s="1"/>
      <c r="AG254" s="45"/>
      <c r="AH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</row>
    <row r="255" spans="1:66" customFormat="1" ht="14.25" customHeight="1" x14ac:dyDescent="0.4">
      <c r="A255" s="1"/>
      <c r="B255" s="2"/>
      <c r="C255" s="3"/>
      <c r="D255" s="4"/>
      <c r="E255" s="5"/>
      <c r="F255" s="1"/>
      <c r="H255" s="64" t="s">
        <v>547</v>
      </c>
      <c r="I255" s="43">
        <v>243</v>
      </c>
      <c r="J255" s="43" t="s">
        <v>241</v>
      </c>
      <c r="K255" s="53">
        <f t="shared" si="10"/>
        <v>243</v>
      </c>
      <c r="L255" s="57">
        <f t="shared" si="11"/>
        <v>243</v>
      </c>
      <c r="M255" s="54" t="str">
        <f>CHAR(Table35[[#This Row],[Decimal]])</f>
        <v>ó</v>
      </c>
      <c r="N255" s="1"/>
      <c r="O255" s="48">
        <f t="shared" si="12"/>
        <v>244</v>
      </c>
      <c r="P255" s="48" t="str" cm="1">
        <f t="array" ref="P255">CHAR(ROW(244:244))</f>
        <v>ô</v>
      </c>
      <c r="R255" s="21">
        <v>244</v>
      </c>
      <c r="S255" s="59">
        <v>88</v>
      </c>
      <c r="T255" s="48" t="str">
        <v>X</v>
      </c>
      <c r="V255" s="1"/>
      <c r="W255" s="1"/>
      <c r="X255" s="1"/>
      <c r="Y255" s="1"/>
      <c r="Z255" s="1"/>
      <c r="AA255" s="1"/>
      <c r="AB255" s="5"/>
      <c r="AC255" s="4"/>
      <c r="AD255" s="3"/>
      <c r="AE255" s="2"/>
      <c r="AF255" s="1"/>
      <c r="AG255" s="45"/>
      <c r="AH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</row>
    <row r="256" spans="1:66" ht="14.25" customHeight="1" x14ac:dyDescent="0.4">
      <c r="B256" s="2"/>
      <c r="C256" s="3"/>
      <c r="D256" s="4"/>
      <c r="E256" s="5"/>
      <c r="G256"/>
      <c r="H256" s="64" t="s">
        <v>548</v>
      </c>
      <c r="I256" s="43">
        <v>244</v>
      </c>
      <c r="J256" s="43" t="s">
        <v>242</v>
      </c>
      <c r="K256" s="53">
        <f t="shared" si="10"/>
        <v>244</v>
      </c>
      <c r="L256" s="57">
        <f t="shared" si="11"/>
        <v>244</v>
      </c>
      <c r="M256" s="54" t="str">
        <f>CHAR(Table35[[#This Row],[Decimal]])</f>
        <v>ô</v>
      </c>
      <c r="O256" s="48">
        <f t="shared" si="12"/>
        <v>245</v>
      </c>
      <c r="P256" s="48" t="str" cm="1">
        <f t="array" ref="P256">CHAR(ROW(245:245))</f>
        <v>õ</v>
      </c>
      <c r="Q256"/>
      <c r="R256" s="21">
        <v>245</v>
      </c>
      <c r="S256" s="59">
        <v>120</v>
      </c>
      <c r="T256" s="48" t="str">
        <v>x</v>
      </c>
      <c r="U256"/>
      <c r="AB256" s="5"/>
      <c r="AC256" s="4"/>
      <c r="AD256" s="3"/>
      <c r="AE256" s="2"/>
    </row>
    <row r="257" spans="2:34" x14ac:dyDescent="0.4">
      <c r="B257" s="2"/>
      <c r="C257" s="3"/>
      <c r="D257" s="4"/>
      <c r="E257" s="5"/>
      <c r="G257"/>
      <c r="H257" s="64" t="s">
        <v>549</v>
      </c>
      <c r="I257" s="43">
        <v>245</v>
      </c>
      <c r="J257" s="43" t="s">
        <v>243</v>
      </c>
      <c r="K257" s="53">
        <f t="shared" si="10"/>
        <v>245</v>
      </c>
      <c r="L257" s="57">
        <f t="shared" si="11"/>
        <v>245</v>
      </c>
      <c r="M257" s="54" t="str">
        <f>CHAR(Table35[[#This Row],[Decimal]])</f>
        <v>õ</v>
      </c>
      <c r="O257" s="48">
        <f t="shared" si="12"/>
        <v>246</v>
      </c>
      <c r="P257" s="48" t="str" cm="1">
        <f t="array" ref="P257">CHAR(ROW(246:246))</f>
        <v>ö</v>
      </c>
      <c r="Q257"/>
      <c r="R257" s="21">
        <v>246</v>
      </c>
      <c r="S257" s="59">
        <v>89</v>
      </c>
      <c r="T257" s="48" t="str">
        <v>Y</v>
      </c>
      <c r="U257"/>
      <c r="AB257" s="5"/>
      <c r="AC257" s="4"/>
      <c r="AD257" s="3"/>
      <c r="AE257" s="2"/>
    </row>
    <row r="258" spans="2:34" x14ac:dyDescent="0.4">
      <c r="B258" s="2"/>
      <c r="C258" s="3"/>
      <c r="D258" s="4"/>
      <c r="E258" s="5"/>
      <c r="G258"/>
      <c r="H258" s="64" t="s">
        <v>550</v>
      </c>
      <c r="I258" s="43">
        <v>246</v>
      </c>
      <c r="J258" s="43" t="s">
        <v>244</v>
      </c>
      <c r="K258" s="53">
        <f t="shared" si="10"/>
        <v>246</v>
      </c>
      <c r="L258" s="57">
        <f t="shared" si="11"/>
        <v>246</v>
      </c>
      <c r="M258" s="54" t="str">
        <f>CHAR(Table35[[#This Row],[Decimal]])</f>
        <v>ö</v>
      </c>
      <c r="O258" s="48">
        <f t="shared" si="12"/>
        <v>247</v>
      </c>
      <c r="P258" s="48" t="str" cm="1">
        <f t="array" ref="P258">CHAR(ROW(247:247))</f>
        <v>÷</v>
      </c>
      <c r="Q258"/>
      <c r="R258" s="21">
        <v>247</v>
      </c>
      <c r="S258" s="59">
        <v>121</v>
      </c>
      <c r="T258" s="48" t="str">
        <v>y</v>
      </c>
      <c r="U258"/>
      <c r="AB258" s="5"/>
      <c r="AC258" s="4"/>
      <c r="AD258" s="3"/>
      <c r="AE258" s="2"/>
      <c r="AF258"/>
    </row>
    <row r="259" spans="2:34" x14ac:dyDescent="0.4">
      <c r="B259" s="2"/>
      <c r="C259" s="3"/>
      <c r="D259" s="4"/>
      <c r="E259" s="5"/>
      <c r="G259"/>
      <c r="H259" s="64" t="s">
        <v>551</v>
      </c>
      <c r="I259" s="43">
        <v>247</v>
      </c>
      <c r="J259" s="43" t="s">
        <v>245</v>
      </c>
      <c r="K259" s="53">
        <f t="shared" si="10"/>
        <v>247</v>
      </c>
      <c r="L259" s="57">
        <f t="shared" si="11"/>
        <v>247</v>
      </c>
      <c r="M259" s="54" t="str">
        <f>CHAR(Table35[[#This Row],[Decimal]])</f>
        <v>÷</v>
      </c>
      <c r="O259" s="48">
        <f t="shared" si="12"/>
        <v>248</v>
      </c>
      <c r="P259" s="48" t="str" cm="1">
        <f t="array" ref="P259">CHAR(ROW(248:248))</f>
        <v>ø</v>
      </c>
      <c r="Q259"/>
      <c r="R259" s="21">
        <v>248</v>
      </c>
      <c r="S259" s="59">
        <v>221</v>
      </c>
      <c r="T259" s="48" t="str">
        <v>Ý</v>
      </c>
      <c r="U259"/>
      <c r="AB259" s="5"/>
      <c r="AC259" s="4"/>
      <c r="AD259" s="3"/>
      <c r="AE259" s="2"/>
      <c r="AF259"/>
    </row>
    <row r="260" spans="2:34" x14ac:dyDescent="0.4">
      <c r="B260" s="2"/>
      <c r="C260" s="3"/>
      <c r="D260" s="4"/>
      <c r="E260" s="5"/>
      <c r="G260"/>
      <c r="H260" s="64" t="s">
        <v>552</v>
      </c>
      <c r="I260" s="43">
        <v>248</v>
      </c>
      <c r="J260" s="43" t="s">
        <v>246</v>
      </c>
      <c r="K260" s="53">
        <f t="shared" si="10"/>
        <v>248</v>
      </c>
      <c r="L260" s="57">
        <f t="shared" si="11"/>
        <v>248</v>
      </c>
      <c r="M260" s="54" t="str">
        <f>CHAR(Table35[[#This Row],[Decimal]])</f>
        <v>ø</v>
      </c>
      <c r="O260" s="48">
        <f t="shared" si="12"/>
        <v>249</v>
      </c>
      <c r="P260" s="48" t="str" cm="1">
        <f t="array" ref="P260">CHAR(ROW(249:249))</f>
        <v>ù</v>
      </c>
      <c r="Q260"/>
      <c r="R260" s="21">
        <v>249</v>
      </c>
      <c r="S260" s="59">
        <v>253</v>
      </c>
      <c r="T260" s="48" t="str">
        <v>ý</v>
      </c>
      <c r="U260"/>
      <c r="AB260" s="5"/>
      <c r="AC260" s="4"/>
      <c r="AD260" s="3"/>
      <c r="AE260" s="2"/>
      <c r="AF260"/>
    </row>
    <row r="261" spans="2:34" x14ac:dyDescent="0.4">
      <c r="B261" s="2"/>
      <c r="C261" s="3"/>
      <c r="D261" s="4"/>
      <c r="E261" s="5"/>
      <c r="G261"/>
      <c r="H261" s="64" t="s">
        <v>553</v>
      </c>
      <c r="I261" s="43">
        <v>249</v>
      </c>
      <c r="J261" s="43" t="s">
        <v>247</v>
      </c>
      <c r="K261" s="53">
        <f t="shared" si="10"/>
        <v>249</v>
      </c>
      <c r="L261" s="57">
        <f t="shared" si="11"/>
        <v>249</v>
      </c>
      <c r="M261" s="54" t="str">
        <f>CHAR(Table35[[#This Row],[Decimal]])</f>
        <v>ù</v>
      </c>
      <c r="O261" s="48">
        <f t="shared" si="12"/>
        <v>250</v>
      </c>
      <c r="P261" s="48" t="str" cm="1">
        <f t="array" ref="P261">CHAR(ROW(250:250))</f>
        <v>ú</v>
      </c>
      <c r="Q261"/>
      <c r="R261" s="21">
        <v>250</v>
      </c>
      <c r="S261" s="59">
        <v>159</v>
      </c>
      <c r="T261" s="48" t="str">
        <v>Ÿ</v>
      </c>
      <c r="U261"/>
      <c r="AB261" s="5"/>
      <c r="AC261" s="4"/>
      <c r="AD261" s="3"/>
      <c r="AE261" s="2"/>
      <c r="AF261"/>
    </row>
    <row r="262" spans="2:34" x14ac:dyDescent="0.4">
      <c r="B262" s="2"/>
      <c r="C262" s="3"/>
      <c r="D262" s="4"/>
      <c r="E262" s="5"/>
      <c r="G262"/>
      <c r="H262" s="64" t="s">
        <v>554</v>
      </c>
      <c r="I262" s="43">
        <v>250</v>
      </c>
      <c r="J262" s="43" t="s">
        <v>248</v>
      </c>
      <c r="K262" s="53">
        <f t="shared" si="10"/>
        <v>250</v>
      </c>
      <c r="L262" s="57">
        <f t="shared" si="11"/>
        <v>250</v>
      </c>
      <c r="M262" s="54" t="str">
        <f>CHAR(Table35[[#This Row],[Decimal]])</f>
        <v>ú</v>
      </c>
      <c r="O262" s="48">
        <f t="shared" si="12"/>
        <v>251</v>
      </c>
      <c r="P262" s="48" t="str" cm="1">
        <f t="array" ref="P262">CHAR(ROW(251:251))</f>
        <v>û</v>
      </c>
      <c r="Q262"/>
      <c r="R262" s="21">
        <v>251</v>
      </c>
      <c r="S262" s="59">
        <v>255</v>
      </c>
      <c r="T262" s="48" t="str">
        <v>ÿ</v>
      </c>
      <c r="U262"/>
      <c r="AB262" s="5"/>
      <c r="AC262" s="4"/>
      <c r="AD262" s="3"/>
      <c r="AE262" s="2"/>
      <c r="AF262"/>
    </row>
    <row r="263" spans="2:34" x14ac:dyDescent="0.4">
      <c r="B263" s="2"/>
      <c r="C263" s="3"/>
      <c r="D263" s="4"/>
      <c r="E263" s="5"/>
      <c r="G263"/>
      <c r="H263" s="64" t="s">
        <v>555</v>
      </c>
      <c r="I263" s="43">
        <v>251</v>
      </c>
      <c r="J263" s="43" t="s">
        <v>249</v>
      </c>
      <c r="K263" s="53">
        <f t="shared" si="10"/>
        <v>251</v>
      </c>
      <c r="L263" s="57">
        <f t="shared" si="11"/>
        <v>251</v>
      </c>
      <c r="M263" s="54" t="str">
        <f>CHAR(Table35[[#This Row],[Decimal]])</f>
        <v>û</v>
      </c>
      <c r="O263" s="48">
        <f t="shared" si="12"/>
        <v>252</v>
      </c>
      <c r="P263" s="48" t="str" cm="1">
        <f t="array" ref="P263">CHAR(ROW(252:252))</f>
        <v>ü</v>
      </c>
      <c r="Q263"/>
      <c r="R263" s="21">
        <v>252</v>
      </c>
      <c r="S263" s="59">
        <v>90</v>
      </c>
      <c r="T263" s="48" t="str">
        <v>Z</v>
      </c>
      <c r="U263"/>
      <c r="AB263" s="5"/>
      <c r="AC263" s="4"/>
      <c r="AD263" s="3"/>
      <c r="AE263" s="2"/>
      <c r="AF263"/>
    </row>
    <row r="264" spans="2:34" x14ac:dyDescent="0.4">
      <c r="B264" s="2"/>
      <c r="C264" s="3"/>
      <c r="D264" s="4"/>
      <c r="E264" s="5"/>
      <c r="G264"/>
      <c r="H264" s="64" t="s">
        <v>556</v>
      </c>
      <c r="I264" s="43">
        <v>252</v>
      </c>
      <c r="J264" s="43" t="s">
        <v>250</v>
      </c>
      <c r="K264" s="53">
        <f t="shared" si="10"/>
        <v>252</v>
      </c>
      <c r="L264" s="57">
        <f t="shared" si="11"/>
        <v>252</v>
      </c>
      <c r="M264" s="54" t="str">
        <f>CHAR(Table35[[#This Row],[Decimal]])</f>
        <v>ü</v>
      </c>
      <c r="O264" s="48">
        <f t="shared" si="12"/>
        <v>253</v>
      </c>
      <c r="P264" s="48" t="str" cm="1">
        <f t="array" ref="P264">CHAR(ROW(253:253))</f>
        <v>ý</v>
      </c>
      <c r="Q264"/>
      <c r="R264" s="21">
        <v>253</v>
      </c>
      <c r="S264" s="59">
        <v>122</v>
      </c>
      <c r="T264" s="48" t="str">
        <v>z</v>
      </c>
      <c r="U264"/>
      <c r="AB264" s="5"/>
      <c r="AC264" s="4"/>
      <c r="AD264" s="3"/>
      <c r="AE264" s="2"/>
      <c r="AF264"/>
    </row>
    <row r="265" spans="2:34" x14ac:dyDescent="0.4">
      <c r="B265" s="2"/>
      <c r="C265" s="3"/>
      <c r="D265" s="4"/>
      <c r="E265" s="5"/>
      <c r="G265"/>
      <c r="H265" s="64" t="s">
        <v>557</v>
      </c>
      <c r="I265" s="43">
        <v>253</v>
      </c>
      <c r="J265" s="43" t="s">
        <v>251</v>
      </c>
      <c r="K265" s="53">
        <f t="shared" si="10"/>
        <v>253</v>
      </c>
      <c r="L265" s="57">
        <f t="shared" si="11"/>
        <v>253</v>
      </c>
      <c r="M265" s="54" t="str">
        <f>CHAR(Table35[[#This Row],[Decimal]])</f>
        <v>ý</v>
      </c>
      <c r="O265" s="48">
        <f t="shared" si="12"/>
        <v>254</v>
      </c>
      <c r="P265" s="48" t="str" cm="1">
        <f t="array" ref="P265">CHAR(ROW(254:254))</f>
        <v>þ</v>
      </c>
      <c r="Q265"/>
      <c r="R265" s="21">
        <v>254</v>
      </c>
      <c r="S265" s="59">
        <v>142</v>
      </c>
      <c r="T265" s="48" t="str">
        <v>Ž</v>
      </c>
      <c r="U265"/>
      <c r="AB265" s="5"/>
      <c r="AC265" s="4"/>
      <c r="AD265" s="3"/>
      <c r="AE265" s="2"/>
      <c r="AF265"/>
    </row>
    <row r="266" spans="2:34" x14ac:dyDescent="0.4">
      <c r="B266" s="2"/>
      <c r="C266" s="3"/>
      <c r="D266" s="4"/>
      <c r="E266" s="5"/>
      <c r="G266"/>
      <c r="H266" s="64" t="s">
        <v>558</v>
      </c>
      <c r="I266" s="43">
        <v>254</v>
      </c>
      <c r="J266" s="43" t="s">
        <v>252</v>
      </c>
      <c r="K266" s="53">
        <f t="shared" si="10"/>
        <v>254</v>
      </c>
      <c r="L266" s="57">
        <f t="shared" si="11"/>
        <v>254</v>
      </c>
      <c r="M266" s="54" t="str">
        <f>CHAR(Table35[[#This Row],[Decimal]])</f>
        <v>þ</v>
      </c>
      <c r="O266" s="48">
        <f t="shared" si="12"/>
        <v>255</v>
      </c>
      <c r="P266" s="48" t="str" cm="1">
        <f t="array" ref="P266">CHAR(ROW(255:255))</f>
        <v>ÿ</v>
      </c>
      <c r="Q266"/>
      <c r="R266" s="21">
        <v>255</v>
      </c>
      <c r="S266" s="59">
        <v>158</v>
      </c>
      <c r="T266" s="48" t="str">
        <v>ž</v>
      </c>
      <c r="U266"/>
      <c r="AB266" s="5"/>
      <c r="AC266" s="4"/>
      <c r="AD266" s="3"/>
      <c r="AE266" s="2"/>
      <c r="AF266"/>
    </row>
    <row r="267" spans="2:34" x14ac:dyDescent="0.4">
      <c r="B267" s="2"/>
      <c r="C267" s="3"/>
      <c r="D267" s="4"/>
      <c r="E267" s="5"/>
      <c r="G267"/>
      <c r="H267" s="64" t="s">
        <v>559</v>
      </c>
      <c r="I267" s="43">
        <v>255</v>
      </c>
      <c r="J267" s="43" t="s">
        <v>254</v>
      </c>
      <c r="K267" s="53">
        <f t="shared" si="10"/>
        <v>255</v>
      </c>
      <c r="L267" s="57">
        <f t="shared" si="11"/>
        <v>255</v>
      </c>
      <c r="M267" s="54" t="str">
        <f>CHAR(Table35[[#This Row],[Decimal]])</f>
        <v>ÿ</v>
      </c>
      <c r="Q267"/>
      <c r="R267"/>
      <c r="S267"/>
      <c r="T267"/>
      <c r="U267"/>
      <c r="AB267" s="5"/>
      <c r="AC267" s="4"/>
      <c r="AD267" s="3"/>
      <c r="AE267" s="2"/>
      <c r="AF267"/>
      <c r="AG267" s="47"/>
      <c r="AH267"/>
    </row>
    <row r="268" spans="2:34" x14ac:dyDescent="0.4">
      <c r="B268" s="2"/>
      <c r="C268" s="3"/>
      <c r="D268" s="4"/>
      <c r="E268" s="5"/>
      <c r="G268"/>
      <c r="H268" s="62"/>
      <c r="I268"/>
      <c r="J268"/>
      <c r="K268"/>
      <c r="L268"/>
      <c r="M268"/>
      <c r="N268"/>
      <c r="O268"/>
      <c r="P268"/>
      <c r="Q268"/>
      <c r="R268"/>
      <c r="S268"/>
      <c r="T268"/>
      <c r="U268"/>
      <c r="AB268" s="5"/>
      <c r="AC268" s="4"/>
      <c r="AD268" s="3"/>
      <c r="AE268" s="2"/>
      <c r="AF268"/>
      <c r="AG268" s="47"/>
      <c r="AH268"/>
    </row>
    <row r="269" spans="2:34" ht="9.4" customHeight="1" x14ac:dyDescent="0.4">
      <c r="B269" s="2"/>
      <c r="C269" s="3"/>
      <c r="D269" s="4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4"/>
      <c r="AD269" s="3"/>
      <c r="AE269" s="2"/>
    </row>
    <row r="270" spans="2:34" ht="9.4" customHeight="1" x14ac:dyDescent="0.4">
      <c r="B270" s="2"/>
      <c r="C270" s="3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3"/>
      <c r="AE270" s="2"/>
    </row>
    <row r="271" spans="2:34" ht="9.4" customHeight="1" x14ac:dyDescent="0.4">
      <c r="B271" s="2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2"/>
    </row>
    <row r="272" spans="2:34" ht="9.4" customHeight="1" x14ac:dyDescent="0.4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</row>
    <row r="273" spans="1:65" hidden="1" x14ac:dyDescent="0.4"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65" ht="28.15" hidden="1" customHeight="1" x14ac:dyDescent="0.4">
      <c r="F274" s="39"/>
      <c r="G274" s="39"/>
      <c r="H274" s="39"/>
      <c r="M274"/>
      <c r="N274"/>
      <c r="V274"/>
      <c r="W274"/>
      <c r="X274"/>
      <c r="Y274"/>
      <c r="Z274"/>
      <c r="AA274"/>
      <c r="AC274"/>
      <c r="AD274"/>
      <c r="AE274"/>
      <c r="AF274"/>
      <c r="AG274" s="47"/>
      <c r="AH274"/>
    </row>
    <row r="275" spans="1:65" ht="33.75" hidden="1" customHeight="1" x14ac:dyDescent="0.4">
      <c r="F275" s="42"/>
      <c r="G275" s="42"/>
      <c r="H275" s="42"/>
      <c r="AH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</row>
    <row r="276" spans="1:65" hidden="1" x14ac:dyDescent="0.4">
      <c r="F276" s="41"/>
      <c r="G276" s="41"/>
      <c r="H276" s="41"/>
      <c r="AH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</row>
    <row r="277" spans="1:65" customFormat="1" hidden="1" x14ac:dyDescent="0.4">
      <c r="A277" s="1"/>
      <c r="B277" s="1"/>
      <c r="C277" s="1"/>
      <c r="D277" s="1"/>
      <c r="E277" s="1"/>
      <c r="F277" s="41"/>
      <c r="G277" s="41"/>
      <c r="H277" s="4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45"/>
      <c r="BM277" s="1"/>
    </row>
    <row r="278" spans="1:65" customFormat="1" hidden="1" x14ac:dyDescent="0.4">
      <c r="A278" s="1"/>
      <c r="B278" s="1"/>
      <c r="C278" s="1"/>
      <c r="D278" s="1"/>
      <c r="E278" s="1"/>
      <c r="F278" s="41"/>
      <c r="G278" s="41"/>
      <c r="H278" s="4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45"/>
      <c r="BM278" s="1"/>
    </row>
    <row r="279" spans="1:65" customFormat="1" hidden="1" x14ac:dyDescent="0.4">
      <c r="A279" s="1"/>
      <c r="B279" s="1"/>
      <c r="C279" s="1"/>
      <c r="D279" s="1"/>
      <c r="E279" s="1"/>
      <c r="F279" s="41"/>
      <c r="G279" s="41"/>
      <c r="H279" s="4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45"/>
      <c r="BM279" s="1"/>
    </row>
    <row r="280" spans="1:65" customFormat="1" hidden="1" x14ac:dyDescent="0.4">
      <c r="A280" s="1"/>
      <c r="B280" s="1"/>
      <c r="C280" s="1"/>
      <c r="D280" s="1"/>
      <c r="E280" s="1"/>
      <c r="F280" s="41"/>
      <c r="G280" s="41"/>
      <c r="H280" s="4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45"/>
      <c r="BM280" s="1"/>
    </row>
    <row r="281" spans="1:65" customFormat="1" hidden="1" x14ac:dyDescent="0.4">
      <c r="A281" s="1"/>
      <c r="B281" s="1"/>
      <c r="C281" s="1"/>
      <c r="D281" s="1"/>
      <c r="E281" s="1"/>
      <c r="F281" s="41"/>
      <c r="G281" s="41"/>
      <c r="H281" s="4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45"/>
      <c r="BM281" s="1"/>
    </row>
    <row r="282" spans="1:65" customFormat="1" hidden="1" x14ac:dyDescent="0.4">
      <c r="A282" s="1"/>
      <c r="B282" s="1"/>
      <c r="C282" s="1"/>
      <c r="D282" s="1"/>
      <c r="E282" s="1"/>
      <c r="F282" s="41"/>
      <c r="G282" s="41"/>
      <c r="H282" s="4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45"/>
      <c r="BM282" s="1"/>
    </row>
    <row r="283" spans="1:65" customFormat="1" hidden="1" x14ac:dyDescent="0.4">
      <c r="A283" s="1"/>
      <c r="B283" s="1"/>
      <c r="C283" s="1"/>
      <c r="D283" s="1"/>
      <c r="E283" s="1"/>
      <c r="F283" s="41"/>
      <c r="G283" s="41"/>
      <c r="H283" s="4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45"/>
      <c r="BM283" s="1"/>
    </row>
    <row r="284" spans="1:65" customFormat="1" hidden="1" x14ac:dyDescent="0.4">
      <c r="A284" s="1"/>
      <c r="B284" s="1"/>
      <c r="C284" s="1"/>
      <c r="D284" s="1"/>
      <c r="E284" s="1"/>
      <c r="F284" s="41"/>
      <c r="G284" s="41"/>
      <c r="H284" s="4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45"/>
    </row>
    <row r="285" spans="1:65" customFormat="1" hidden="1" x14ac:dyDescent="0.4">
      <c r="A285" s="1"/>
      <c r="B285" s="1"/>
      <c r="C285" s="1"/>
      <c r="D285" s="1"/>
      <c r="E285" s="1"/>
      <c r="F285" s="41"/>
      <c r="G285" s="41"/>
      <c r="H285" s="4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45"/>
    </row>
    <row r="286" spans="1:65" customFormat="1" hidden="1" x14ac:dyDescent="0.4">
      <c r="A286" s="1"/>
      <c r="B286" s="1"/>
      <c r="C286" s="1"/>
      <c r="D286" s="1"/>
      <c r="E286" s="1"/>
      <c r="F286" s="41"/>
      <c r="G286" s="41"/>
      <c r="H286" s="4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45"/>
    </row>
    <row r="287" spans="1:65" customFormat="1" hidden="1" x14ac:dyDescent="0.4">
      <c r="A287" s="1"/>
      <c r="B287" s="1"/>
      <c r="C287" s="1"/>
      <c r="D287" s="1"/>
      <c r="E287" s="1"/>
      <c r="F287" s="41"/>
      <c r="G287" s="41"/>
      <c r="H287" s="4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45"/>
    </row>
    <row r="288" spans="1:65" customFormat="1" hidden="1" x14ac:dyDescent="0.4">
      <c r="A288" s="1"/>
      <c r="B288" s="1"/>
      <c r="C288" s="1"/>
      <c r="D288" s="1"/>
      <c r="E288" s="1"/>
      <c r="F288" s="41"/>
      <c r="G288" s="41"/>
      <c r="H288" s="4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45"/>
    </row>
    <row r="289" spans="1:33" customFormat="1" hidden="1" x14ac:dyDescent="0.4">
      <c r="A289" s="1"/>
      <c r="B289" s="1"/>
      <c r="C289" s="1"/>
      <c r="D289" s="1"/>
      <c r="E289" s="1"/>
      <c r="F289" s="41"/>
      <c r="G289" s="41"/>
      <c r="H289" s="4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45"/>
    </row>
    <row r="290" spans="1:33" customFormat="1" hidden="1" x14ac:dyDescent="0.4">
      <c r="A290" s="1"/>
      <c r="B290" s="1"/>
      <c r="C290" s="1"/>
      <c r="D290" s="1"/>
      <c r="E290" s="1"/>
      <c r="F290" s="41"/>
      <c r="G290" s="41"/>
      <c r="H290" s="4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45"/>
    </row>
    <row r="291" spans="1:33" customFormat="1" hidden="1" x14ac:dyDescent="0.4">
      <c r="A291" s="1"/>
      <c r="B291" s="1"/>
      <c r="C291" s="1"/>
      <c r="D291" s="1"/>
      <c r="E291" s="1"/>
      <c r="F291" s="41"/>
      <c r="G291" s="41"/>
      <c r="H291" s="4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45"/>
    </row>
    <row r="292" spans="1:33" customFormat="1" hidden="1" x14ac:dyDescent="0.4">
      <c r="A292" s="1"/>
      <c r="B292" s="1"/>
      <c r="C292" s="1"/>
      <c r="D292" s="1"/>
      <c r="E292" s="1"/>
      <c r="F292" s="41"/>
      <c r="G292" s="41"/>
      <c r="H292" s="4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45"/>
    </row>
    <row r="293" spans="1:33" customFormat="1" hidden="1" x14ac:dyDescent="0.4">
      <c r="A293" s="1"/>
      <c r="B293" s="1"/>
      <c r="C293" s="1"/>
      <c r="D293" s="1"/>
      <c r="E293" s="1"/>
      <c r="F293" s="41"/>
      <c r="G293" s="41"/>
      <c r="H293" s="4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45"/>
    </row>
    <row r="294" spans="1:33" customFormat="1" hidden="1" x14ac:dyDescent="0.4">
      <c r="A294" s="1"/>
      <c r="B294" s="1"/>
      <c r="C294" s="1"/>
      <c r="D294" s="1"/>
      <c r="E294" s="1"/>
      <c r="F294" s="41"/>
      <c r="G294" s="41"/>
      <c r="H294" s="4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45"/>
    </row>
    <row r="295" spans="1:33" customFormat="1" hidden="1" x14ac:dyDescent="0.4">
      <c r="A295" s="1"/>
      <c r="B295" s="1"/>
      <c r="C295" s="1"/>
      <c r="D295" s="1"/>
      <c r="E295" s="1"/>
      <c r="F295" s="41"/>
      <c r="G295" s="41"/>
      <c r="H295" s="4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45"/>
    </row>
    <row r="296" spans="1:33" customFormat="1" hidden="1" x14ac:dyDescent="0.4">
      <c r="A296" s="1"/>
      <c r="B296" s="1"/>
      <c r="C296" s="1"/>
      <c r="D296" s="1"/>
      <c r="E296" s="1"/>
      <c r="F296" s="41"/>
      <c r="G296" s="41"/>
      <c r="H296" s="4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45"/>
    </row>
    <row r="297" spans="1:33" customFormat="1" hidden="1" x14ac:dyDescent="0.4">
      <c r="A297" s="1"/>
      <c r="B297" s="1"/>
      <c r="C297" s="1"/>
      <c r="D297" s="1"/>
      <c r="E297" s="1"/>
      <c r="F297" s="41"/>
      <c r="G297" s="41"/>
      <c r="H297" s="4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45"/>
    </row>
    <row r="298" spans="1:33" customFormat="1" hidden="1" x14ac:dyDescent="0.4">
      <c r="A298" s="1"/>
      <c r="B298" s="1"/>
      <c r="C298" s="1"/>
      <c r="D298" s="1"/>
      <c r="E298" s="1"/>
      <c r="F298" s="41"/>
      <c r="G298" s="41"/>
      <c r="H298" s="4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45"/>
    </row>
    <row r="299" spans="1:33" customFormat="1" hidden="1" x14ac:dyDescent="0.4">
      <c r="A299" s="1"/>
      <c r="B299" s="1"/>
      <c r="C299" s="1"/>
      <c r="D299" s="1"/>
      <c r="E299" s="1"/>
      <c r="F299" s="41"/>
      <c r="G299" s="41"/>
      <c r="H299" s="4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45"/>
    </row>
    <row r="300" spans="1:33" customFormat="1" hidden="1" x14ac:dyDescent="0.4">
      <c r="A300" s="1"/>
      <c r="B300" s="1"/>
      <c r="C300" s="1"/>
      <c r="D300" s="1"/>
      <c r="E300" s="1"/>
      <c r="F300" s="41"/>
      <c r="G300" s="41"/>
      <c r="H300" s="4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45"/>
    </row>
    <row r="301" spans="1:33" customFormat="1" hidden="1" x14ac:dyDescent="0.4">
      <c r="A301" s="1"/>
      <c r="B301" s="1"/>
      <c r="C301" s="1"/>
      <c r="D301" s="1"/>
      <c r="E301" s="1"/>
      <c r="F301" s="41"/>
      <c r="G301" s="41"/>
      <c r="H301" s="4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45"/>
    </row>
    <row r="302" spans="1:33" customFormat="1" hidden="1" x14ac:dyDescent="0.4">
      <c r="A302" s="1"/>
      <c r="B302" s="1"/>
      <c r="C302" s="1"/>
      <c r="D302" s="1"/>
      <c r="E302" s="1"/>
      <c r="F302" s="41"/>
      <c r="G302" s="41"/>
      <c r="H302" s="4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45"/>
    </row>
    <row r="303" spans="1:33" customFormat="1" hidden="1" x14ac:dyDescent="0.4">
      <c r="A303" s="1"/>
      <c r="B303" s="1"/>
      <c r="C303" s="1"/>
      <c r="D303" s="1"/>
      <c r="E303" s="1"/>
      <c r="F303" s="41"/>
      <c r="G303" s="41"/>
      <c r="H303" s="4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45"/>
    </row>
    <row r="304" spans="1:33" customFormat="1" hidden="1" x14ac:dyDescent="0.4">
      <c r="A304" s="1"/>
      <c r="B304" s="1"/>
      <c r="C304" s="1"/>
      <c r="D304" s="1"/>
      <c r="E304" s="1"/>
      <c r="F304" s="41"/>
      <c r="G304" s="41"/>
      <c r="H304" s="4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45"/>
    </row>
    <row r="305" spans="6:63" hidden="1" x14ac:dyDescent="0.4">
      <c r="F305" s="41"/>
      <c r="G305" s="41"/>
      <c r="H305" s="41"/>
      <c r="AH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</row>
    <row r="306" spans="6:63" hidden="1" x14ac:dyDescent="0.4">
      <c r="F306" s="41"/>
      <c r="G306" s="41"/>
      <c r="H306" s="41"/>
      <c r="AH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</row>
    <row r="307" spans="6:63" hidden="1" x14ac:dyDescent="0.4">
      <c r="F307" s="41"/>
      <c r="G307" s="41"/>
      <c r="H307" s="41"/>
      <c r="AH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</row>
    <row r="308" spans="6:63" hidden="1" x14ac:dyDescent="0.4">
      <c r="F308" s="41"/>
      <c r="G308" s="41"/>
      <c r="H308" s="41"/>
      <c r="AH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</row>
    <row r="309" spans="6:63" hidden="1" x14ac:dyDescent="0.4">
      <c r="F309" s="41"/>
      <c r="G309" s="41"/>
      <c r="H309" s="41"/>
      <c r="AH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</row>
    <row r="310" spans="6:63" hidden="1" x14ac:dyDescent="0.4">
      <c r="F310" s="41"/>
      <c r="G310" s="41"/>
      <c r="H310" s="41"/>
      <c r="AH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</row>
    <row r="311" spans="6:63" hidden="1" x14ac:dyDescent="0.4">
      <c r="F311" s="41"/>
      <c r="G311" s="41"/>
      <c r="H311" s="41"/>
      <c r="AH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</row>
    <row r="312" spans="6:63" hidden="1" x14ac:dyDescent="0.4">
      <c r="F312" s="41"/>
      <c r="G312" s="41"/>
      <c r="H312" s="41"/>
      <c r="AH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</row>
    <row r="313" spans="6:63" hidden="1" x14ac:dyDescent="0.4">
      <c r="F313" s="41"/>
      <c r="G313" s="41"/>
      <c r="H313" s="41"/>
      <c r="AH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</row>
    <row r="314" spans="6:63" hidden="1" x14ac:dyDescent="0.4">
      <c r="F314" s="41"/>
      <c r="G314" s="41"/>
      <c r="H314" s="41"/>
      <c r="AH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</row>
    <row r="315" spans="6:63" hidden="1" x14ac:dyDescent="0.4">
      <c r="F315" s="41"/>
      <c r="G315" s="41"/>
      <c r="H315" s="41"/>
      <c r="AH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</row>
    <row r="316" spans="6:63" hidden="1" x14ac:dyDescent="0.4">
      <c r="F316" s="41"/>
      <c r="G316" s="41"/>
      <c r="H316" s="41"/>
      <c r="AH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</row>
    <row r="317" spans="6:63" hidden="1" x14ac:dyDescent="0.4">
      <c r="F317" s="41"/>
      <c r="G317" s="41"/>
      <c r="H317" s="41"/>
      <c r="AH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</row>
    <row r="318" spans="6:63" hidden="1" x14ac:dyDescent="0.4">
      <c r="F318" s="41"/>
      <c r="G318" s="41"/>
      <c r="H318" s="41"/>
      <c r="AH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19" spans="6:63" hidden="1" x14ac:dyDescent="0.4">
      <c r="F319" s="41"/>
      <c r="G319" s="41"/>
      <c r="H319" s="41"/>
      <c r="AH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</row>
    <row r="320" spans="6:63" hidden="1" x14ac:dyDescent="0.4">
      <c r="F320" s="41"/>
      <c r="G320" s="41"/>
      <c r="H320" s="41"/>
      <c r="AH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21" spans="6:63" hidden="1" x14ac:dyDescent="0.4">
      <c r="F321" s="41"/>
      <c r="G321" s="41"/>
      <c r="H321" s="41"/>
      <c r="AH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</row>
    <row r="322" spans="6:63" hidden="1" x14ac:dyDescent="0.4">
      <c r="F322" s="41"/>
      <c r="G322" s="41"/>
      <c r="H322" s="41"/>
      <c r="AH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</row>
    <row r="323" spans="6:63" hidden="1" x14ac:dyDescent="0.4">
      <c r="F323" s="41"/>
      <c r="G323" s="41"/>
      <c r="H323" s="41"/>
      <c r="AH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</row>
    <row r="324" spans="6:63" hidden="1" x14ac:dyDescent="0.4">
      <c r="F324" s="41"/>
      <c r="G324" s="41"/>
      <c r="H324" s="41"/>
      <c r="AH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</row>
    <row r="325" spans="6:63" hidden="1" x14ac:dyDescent="0.4">
      <c r="F325" s="41"/>
      <c r="G325" s="41"/>
      <c r="H325" s="41"/>
      <c r="AH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</row>
    <row r="326" spans="6:63" hidden="1" x14ac:dyDescent="0.4">
      <c r="F326" s="41"/>
      <c r="G326" s="41"/>
      <c r="H326" s="41"/>
      <c r="AH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</row>
    <row r="327" spans="6:63" hidden="1" x14ac:dyDescent="0.4">
      <c r="F327" s="41"/>
      <c r="G327" s="41"/>
      <c r="H327" s="41"/>
      <c r="AH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</row>
    <row r="328" spans="6:63" hidden="1" x14ac:dyDescent="0.4">
      <c r="F328" s="41"/>
      <c r="G328" s="41"/>
      <c r="H328" s="41"/>
      <c r="AH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</row>
    <row r="329" spans="6:63" hidden="1" x14ac:dyDescent="0.4">
      <c r="F329" s="41"/>
      <c r="G329" s="41"/>
      <c r="H329" s="41"/>
      <c r="AH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</row>
    <row r="330" spans="6:63" hidden="1" x14ac:dyDescent="0.4">
      <c r="F330" s="41"/>
      <c r="G330" s="41"/>
      <c r="H330" s="41"/>
      <c r="AH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</row>
    <row r="331" spans="6:63" hidden="1" x14ac:dyDescent="0.4">
      <c r="F331" s="41"/>
      <c r="G331" s="41"/>
      <c r="H331" s="41"/>
      <c r="AH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</row>
    <row r="332" spans="6:63" hidden="1" x14ac:dyDescent="0.4">
      <c r="F332" s="41"/>
      <c r="G332" s="41"/>
      <c r="H332" s="41"/>
      <c r="AH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</row>
    <row r="333" spans="6:63" hidden="1" x14ac:dyDescent="0.4">
      <c r="F333" s="41"/>
      <c r="G333" s="41"/>
      <c r="H333" s="41"/>
      <c r="AH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</row>
    <row r="334" spans="6:63" hidden="1" x14ac:dyDescent="0.4">
      <c r="F334" s="41"/>
      <c r="G334" s="41"/>
      <c r="H334" s="41"/>
      <c r="AH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</row>
    <row r="335" spans="6:63" hidden="1" x14ac:dyDescent="0.4">
      <c r="F335" s="41"/>
      <c r="G335" s="41"/>
      <c r="H335" s="41"/>
      <c r="AH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</row>
    <row r="336" spans="6:63" hidden="1" x14ac:dyDescent="0.4">
      <c r="F336" s="41"/>
      <c r="G336" s="41"/>
      <c r="H336" s="41"/>
      <c r="AH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</row>
    <row r="337" spans="6:63" hidden="1" x14ac:dyDescent="0.4">
      <c r="F337" s="41"/>
      <c r="G337" s="41"/>
      <c r="H337" s="41"/>
      <c r="AH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</row>
    <row r="338" spans="6:63" hidden="1" x14ac:dyDescent="0.4">
      <c r="F338" s="41"/>
      <c r="G338" s="41"/>
      <c r="H338" s="41"/>
      <c r="AH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</row>
    <row r="339" spans="6:63" hidden="1" x14ac:dyDescent="0.4">
      <c r="F339" s="41"/>
      <c r="G339" s="41"/>
      <c r="H339" s="41"/>
      <c r="AH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</row>
    <row r="340" spans="6:63" hidden="1" x14ac:dyDescent="0.4">
      <c r="F340" s="41"/>
      <c r="G340" s="41"/>
      <c r="H340" s="41"/>
      <c r="AH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</row>
    <row r="341" spans="6:63" hidden="1" x14ac:dyDescent="0.4">
      <c r="F341" s="41"/>
      <c r="G341" s="41"/>
      <c r="H341" s="41"/>
      <c r="AH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</row>
    <row r="342" spans="6:63" hidden="1" x14ac:dyDescent="0.4">
      <c r="F342" s="41"/>
      <c r="G342" s="41"/>
      <c r="H342" s="41"/>
      <c r="AH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</row>
    <row r="343" spans="6:63" hidden="1" x14ac:dyDescent="0.4">
      <c r="F343" s="41"/>
      <c r="G343" s="41"/>
      <c r="H343" s="41"/>
      <c r="AH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</row>
    <row r="344" spans="6:63" hidden="1" x14ac:dyDescent="0.4">
      <c r="F344" s="41"/>
      <c r="G344" s="41"/>
      <c r="H344" s="41"/>
      <c r="AH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</row>
    <row r="345" spans="6:63" hidden="1" x14ac:dyDescent="0.4">
      <c r="F345" s="41"/>
      <c r="G345" s="41"/>
      <c r="H345" s="41"/>
      <c r="AH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</row>
    <row r="346" spans="6:63" hidden="1" x14ac:dyDescent="0.4">
      <c r="F346" s="41"/>
      <c r="G346" s="41"/>
      <c r="H346" s="41"/>
      <c r="AH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</row>
    <row r="347" spans="6:63" hidden="1" x14ac:dyDescent="0.4">
      <c r="F347" s="41"/>
      <c r="G347" s="41"/>
      <c r="H347" s="41"/>
      <c r="AH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</row>
    <row r="348" spans="6:63" hidden="1" x14ac:dyDescent="0.4">
      <c r="F348" s="41"/>
      <c r="G348" s="41"/>
      <c r="H348" s="41"/>
      <c r="AH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</row>
    <row r="349" spans="6:63" hidden="1" x14ac:dyDescent="0.4">
      <c r="F349" s="41"/>
      <c r="G349" s="41"/>
      <c r="H349" s="41"/>
      <c r="AH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</row>
    <row r="350" spans="6:63" hidden="1" x14ac:dyDescent="0.4">
      <c r="F350" s="41"/>
      <c r="G350" s="41"/>
      <c r="H350" s="41"/>
      <c r="AH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</row>
    <row r="351" spans="6:63" hidden="1" x14ac:dyDescent="0.4">
      <c r="F351" s="41"/>
      <c r="G351" s="41"/>
      <c r="H351" s="41"/>
      <c r="AH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</row>
    <row r="352" spans="6:63" hidden="1" x14ac:dyDescent="0.4">
      <c r="F352" s="41"/>
      <c r="G352" s="41"/>
      <c r="H352" s="41"/>
      <c r="AH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</row>
    <row r="353" spans="6:63" hidden="1" x14ac:dyDescent="0.4">
      <c r="F353" s="41"/>
      <c r="G353" s="41"/>
      <c r="H353" s="41"/>
      <c r="AH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54" spans="6:63" hidden="1" x14ac:dyDescent="0.4">
      <c r="F354" s="41"/>
      <c r="G354" s="41"/>
      <c r="H354" s="41"/>
      <c r="AH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</row>
    <row r="355" spans="6:63" hidden="1" x14ac:dyDescent="0.4">
      <c r="F355" s="41"/>
      <c r="G355" s="41"/>
      <c r="H355" s="41"/>
      <c r="AH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56" spans="6:63" hidden="1" x14ac:dyDescent="0.4">
      <c r="F356" s="41"/>
      <c r="G356" s="41"/>
      <c r="H356" s="41"/>
      <c r="AH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</row>
    <row r="357" spans="6:63" hidden="1" x14ac:dyDescent="0.4">
      <c r="F357" s="41"/>
      <c r="G357" s="41"/>
      <c r="H357" s="41"/>
      <c r="AH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</row>
    <row r="358" spans="6:63" hidden="1" x14ac:dyDescent="0.4">
      <c r="F358" s="41"/>
      <c r="G358" s="41"/>
      <c r="H358" s="41"/>
      <c r="AH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</row>
    <row r="359" spans="6:63" hidden="1" x14ac:dyDescent="0.4">
      <c r="F359" s="41"/>
      <c r="G359" s="41"/>
      <c r="H359" s="41"/>
      <c r="AH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</row>
    <row r="360" spans="6:63" hidden="1" x14ac:dyDescent="0.4">
      <c r="F360" s="41"/>
      <c r="G360" s="41"/>
      <c r="H360" s="41"/>
      <c r="AH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</row>
    <row r="361" spans="6:63" hidden="1" x14ac:dyDescent="0.4">
      <c r="F361" s="41"/>
      <c r="G361" s="41"/>
      <c r="H361" s="41"/>
      <c r="AH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</row>
    <row r="362" spans="6:63" hidden="1" x14ac:dyDescent="0.4">
      <c r="F362" s="41"/>
      <c r="G362" s="41"/>
      <c r="H362" s="41"/>
      <c r="AH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</row>
    <row r="363" spans="6:63" hidden="1" x14ac:dyDescent="0.4">
      <c r="F363" s="41"/>
      <c r="G363" s="41"/>
      <c r="H363" s="41"/>
      <c r="AH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</row>
    <row r="364" spans="6:63" hidden="1" x14ac:dyDescent="0.4">
      <c r="F364" s="41"/>
      <c r="G364" s="41"/>
      <c r="H364" s="41"/>
      <c r="AH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</row>
    <row r="365" spans="6:63" hidden="1" x14ac:dyDescent="0.4">
      <c r="F365" s="41"/>
      <c r="G365" s="41"/>
      <c r="H365" s="41"/>
      <c r="AH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</row>
    <row r="366" spans="6:63" hidden="1" x14ac:dyDescent="0.4">
      <c r="F366" s="41"/>
      <c r="G366" s="41"/>
      <c r="H366" s="41"/>
      <c r="AH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</row>
    <row r="367" spans="6:63" hidden="1" x14ac:dyDescent="0.4">
      <c r="F367" s="41"/>
      <c r="G367" s="41"/>
      <c r="H367" s="41"/>
      <c r="AH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</row>
    <row r="368" spans="6:63" hidden="1" x14ac:dyDescent="0.4">
      <c r="F368" s="41"/>
      <c r="G368" s="41"/>
      <c r="H368" s="41"/>
      <c r="AH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</row>
    <row r="369" spans="6:63" hidden="1" x14ac:dyDescent="0.4">
      <c r="F369" s="41"/>
      <c r="G369" s="41"/>
      <c r="H369" s="41"/>
      <c r="AH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</row>
    <row r="370" spans="6:63" hidden="1" x14ac:dyDescent="0.4">
      <c r="F370" s="41"/>
      <c r="G370" s="41"/>
      <c r="H370" s="41"/>
      <c r="AH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</row>
    <row r="371" spans="6:63" hidden="1" x14ac:dyDescent="0.4">
      <c r="F371" s="41"/>
      <c r="G371" s="41"/>
      <c r="H371" s="41"/>
      <c r="AH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</row>
    <row r="372" spans="6:63" hidden="1" x14ac:dyDescent="0.4">
      <c r="F372" s="41"/>
      <c r="G372" s="41"/>
      <c r="H372" s="41"/>
      <c r="AH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</row>
    <row r="373" spans="6:63" hidden="1" x14ac:dyDescent="0.4">
      <c r="F373" s="41"/>
      <c r="G373" s="41"/>
      <c r="H373" s="41"/>
      <c r="AH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</row>
    <row r="374" spans="6:63" hidden="1" x14ac:dyDescent="0.4">
      <c r="F374" s="41"/>
      <c r="G374" s="41"/>
      <c r="H374" s="41"/>
      <c r="AH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</row>
    <row r="375" spans="6:63" hidden="1" x14ac:dyDescent="0.4">
      <c r="F375" s="41"/>
      <c r="G375" s="41"/>
      <c r="H375" s="41"/>
      <c r="AH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</row>
    <row r="376" spans="6:63" hidden="1" x14ac:dyDescent="0.4">
      <c r="F376" s="41"/>
      <c r="G376" s="41"/>
      <c r="H376" s="41"/>
      <c r="AH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</row>
    <row r="377" spans="6:63" hidden="1" x14ac:dyDescent="0.4">
      <c r="F377" s="41"/>
      <c r="G377" s="41"/>
      <c r="H377" s="41"/>
      <c r="AH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</row>
    <row r="378" spans="6:63" hidden="1" x14ac:dyDescent="0.4">
      <c r="F378" s="41"/>
      <c r="G378" s="41"/>
      <c r="H378" s="41"/>
      <c r="AH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</row>
    <row r="379" spans="6:63" hidden="1" x14ac:dyDescent="0.4">
      <c r="F379" s="41"/>
      <c r="G379" s="41"/>
      <c r="H379" s="41"/>
      <c r="AH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</row>
    <row r="380" spans="6:63" hidden="1" x14ac:dyDescent="0.4">
      <c r="F380" s="41"/>
      <c r="G380" s="41"/>
      <c r="H380" s="41"/>
      <c r="AH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</row>
    <row r="381" spans="6:63" hidden="1" x14ac:dyDescent="0.4">
      <c r="F381" s="41"/>
      <c r="G381" s="41"/>
      <c r="H381" s="41"/>
      <c r="AH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</row>
    <row r="382" spans="6:63" hidden="1" x14ac:dyDescent="0.4">
      <c r="F382" s="41"/>
      <c r="G382" s="41"/>
      <c r="H382" s="41"/>
      <c r="AH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</row>
    <row r="383" spans="6:63" hidden="1" x14ac:dyDescent="0.4">
      <c r="F383" s="41"/>
      <c r="G383" s="41"/>
      <c r="H383" s="41"/>
      <c r="AH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</row>
    <row r="384" spans="6:63" hidden="1" x14ac:dyDescent="0.4">
      <c r="F384" s="41"/>
      <c r="G384" s="41"/>
      <c r="H384" s="41"/>
      <c r="AH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</row>
    <row r="385" spans="6:63" hidden="1" x14ac:dyDescent="0.4">
      <c r="F385" s="41"/>
      <c r="G385" s="41"/>
      <c r="H385" s="41"/>
      <c r="AH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</row>
    <row r="386" spans="6:63" hidden="1" x14ac:dyDescent="0.4">
      <c r="F386" s="41"/>
      <c r="G386" s="41"/>
      <c r="H386" s="41"/>
      <c r="AH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</row>
    <row r="387" spans="6:63" hidden="1" x14ac:dyDescent="0.4">
      <c r="F387" s="41"/>
      <c r="G387" s="41"/>
      <c r="H387" s="41"/>
      <c r="AH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</row>
    <row r="388" spans="6:63" hidden="1" x14ac:dyDescent="0.4">
      <c r="F388" s="41"/>
      <c r="G388" s="41"/>
      <c r="H388" s="41"/>
      <c r="AH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389" spans="6:63" hidden="1" x14ac:dyDescent="0.4">
      <c r="F389" s="41"/>
      <c r="G389" s="41"/>
      <c r="H389" s="41"/>
      <c r="AH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</row>
    <row r="390" spans="6:63" hidden="1" x14ac:dyDescent="0.4">
      <c r="F390" s="41"/>
      <c r="G390" s="41"/>
      <c r="H390" s="41"/>
      <c r="AH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391" spans="6:63" hidden="1" x14ac:dyDescent="0.4">
      <c r="F391" s="41"/>
      <c r="G391" s="41"/>
      <c r="H391" s="41"/>
      <c r="AH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</row>
    <row r="392" spans="6:63" hidden="1" x14ac:dyDescent="0.4">
      <c r="F392" s="41"/>
      <c r="G392" s="41"/>
      <c r="H392" s="41"/>
      <c r="AH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</row>
    <row r="393" spans="6:63" hidden="1" x14ac:dyDescent="0.4">
      <c r="F393" s="41"/>
      <c r="G393" s="41"/>
      <c r="H393" s="41"/>
      <c r="AH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</row>
    <row r="394" spans="6:63" hidden="1" x14ac:dyDescent="0.4">
      <c r="F394" s="41"/>
      <c r="G394" s="41"/>
      <c r="H394" s="41"/>
      <c r="AH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</row>
    <row r="395" spans="6:63" hidden="1" x14ac:dyDescent="0.4">
      <c r="F395" s="41"/>
      <c r="G395" s="41"/>
      <c r="H395" s="41"/>
      <c r="AH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</row>
    <row r="396" spans="6:63" hidden="1" x14ac:dyDescent="0.4">
      <c r="F396" s="41"/>
      <c r="G396" s="41"/>
      <c r="H396" s="41"/>
      <c r="AH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</row>
    <row r="397" spans="6:63" hidden="1" x14ac:dyDescent="0.4">
      <c r="F397" s="41"/>
      <c r="G397" s="41"/>
      <c r="H397" s="41"/>
      <c r="AH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</row>
    <row r="398" spans="6:63" hidden="1" x14ac:dyDescent="0.4">
      <c r="F398" s="41"/>
      <c r="G398" s="41"/>
      <c r="H398" s="41"/>
      <c r="AH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</row>
    <row r="399" spans="6:63" hidden="1" x14ac:dyDescent="0.4">
      <c r="F399" s="41"/>
      <c r="G399" s="41"/>
      <c r="H399" s="41"/>
      <c r="AH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</row>
    <row r="400" spans="6:63" hidden="1" x14ac:dyDescent="0.4">
      <c r="F400" s="41"/>
      <c r="G400" s="41"/>
      <c r="H400" s="41"/>
      <c r="AH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</row>
    <row r="401" spans="6:63" hidden="1" x14ac:dyDescent="0.4">
      <c r="F401" s="41"/>
      <c r="G401" s="41"/>
      <c r="H401" s="41"/>
      <c r="AH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</row>
    <row r="402" spans="6:63" hidden="1" x14ac:dyDescent="0.4">
      <c r="F402" s="41"/>
      <c r="G402" s="41"/>
      <c r="H402" s="41"/>
      <c r="AH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</row>
    <row r="403" spans="6:63" hidden="1" x14ac:dyDescent="0.4">
      <c r="F403" s="41"/>
      <c r="G403" s="41"/>
      <c r="H403" s="41"/>
      <c r="AH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</row>
    <row r="404" spans="6:63" hidden="1" x14ac:dyDescent="0.4">
      <c r="F404" s="41"/>
      <c r="G404" s="41"/>
      <c r="H404" s="41"/>
      <c r="AH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</row>
    <row r="405" spans="6:63" hidden="1" x14ac:dyDescent="0.4">
      <c r="F405" s="41"/>
      <c r="G405" s="41"/>
      <c r="H405" s="41"/>
      <c r="AH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</row>
    <row r="406" spans="6:63" hidden="1" x14ac:dyDescent="0.4">
      <c r="F406" s="41"/>
      <c r="G406" s="41"/>
      <c r="H406" s="41"/>
      <c r="AH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</row>
    <row r="407" spans="6:63" hidden="1" x14ac:dyDescent="0.4">
      <c r="F407" s="41"/>
      <c r="G407" s="41"/>
      <c r="H407" s="41"/>
      <c r="AH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</row>
    <row r="408" spans="6:63" hidden="1" x14ac:dyDescent="0.4">
      <c r="F408" s="41"/>
      <c r="G408" s="41"/>
      <c r="H408" s="41"/>
      <c r="AH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</row>
    <row r="409" spans="6:63" hidden="1" x14ac:dyDescent="0.4">
      <c r="F409" s="41"/>
      <c r="G409" s="41"/>
      <c r="H409" s="41"/>
      <c r="AH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</row>
    <row r="410" spans="6:63" hidden="1" x14ac:dyDescent="0.4">
      <c r="F410" s="41"/>
      <c r="G410" s="41"/>
      <c r="H410" s="41"/>
      <c r="AH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</row>
    <row r="411" spans="6:63" hidden="1" x14ac:dyDescent="0.4">
      <c r="F411" s="41"/>
      <c r="G411" s="41"/>
      <c r="H411" s="41"/>
      <c r="AH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</row>
    <row r="412" spans="6:63" hidden="1" x14ac:dyDescent="0.4">
      <c r="F412" s="41"/>
      <c r="G412" s="41"/>
      <c r="H412" s="41"/>
      <c r="AH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</row>
    <row r="413" spans="6:63" hidden="1" x14ac:dyDescent="0.4">
      <c r="F413" s="41"/>
      <c r="G413" s="41"/>
      <c r="H413" s="41"/>
      <c r="AH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</row>
    <row r="414" spans="6:63" hidden="1" x14ac:dyDescent="0.4">
      <c r="F414" s="41"/>
      <c r="G414" s="41"/>
      <c r="H414" s="41"/>
      <c r="AH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</row>
    <row r="415" spans="6:63" hidden="1" x14ac:dyDescent="0.4">
      <c r="F415" s="41"/>
      <c r="G415" s="41"/>
      <c r="H415" s="41"/>
      <c r="AH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</row>
    <row r="416" spans="6:63" hidden="1" x14ac:dyDescent="0.4">
      <c r="F416" s="41"/>
      <c r="G416" s="41"/>
      <c r="H416" s="41"/>
      <c r="AH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</row>
    <row r="417" spans="6:63" hidden="1" x14ac:dyDescent="0.4">
      <c r="F417" s="41"/>
      <c r="G417" s="41"/>
      <c r="H417" s="41"/>
      <c r="AH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</row>
    <row r="418" spans="6:63" hidden="1" x14ac:dyDescent="0.4">
      <c r="F418" s="41"/>
      <c r="G418" s="41"/>
      <c r="H418" s="41"/>
      <c r="AH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</row>
    <row r="419" spans="6:63" hidden="1" x14ac:dyDescent="0.4">
      <c r="F419" s="41"/>
      <c r="G419" s="41"/>
      <c r="H419" s="41"/>
      <c r="AH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</row>
    <row r="420" spans="6:63" hidden="1" x14ac:dyDescent="0.4">
      <c r="F420" s="41"/>
      <c r="G420" s="41"/>
      <c r="H420" s="41"/>
      <c r="AH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</row>
    <row r="421" spans="6:63" hidden="1" x14ac:dyDescent="0.4">
      <c r="F421" s="41"/>
      <c r="G421" s="41"/>
      <c r="H421" s="41"/>
      <c r="AH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</row>
    <row r="422" spans="6:63" hidden="1" x14ac:dyDescent="0.4">
      <c r="F422" s="41"/>
      <c r="G422" s="41"/>
      <c r="H422" s="41"/>
      <c r="AH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</row>
    <row r="423" spans="6:63" hidden="1" x14ac:dyDescent="0.4">
      <c r="F423" s="41"/>
      <c r="G423" s="41"/>
      <c r="H423" s="41"/>
      <c r="AH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</row>
    <row r="424" spans="6:63" hidden="1" x14ac:dyDescent="0.4">
      <c r="F424" s="41"/>
      <c r="G424" s="41"/>
      <c r="H424" s="41"/>
      <c r="AH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</row>
    <row r="425" spans="6:63" hidden="1" x14ac:dyDescent="0.4">
      <c r="F425" s="41"/>
      <c r="G425" s="41"/>
      <c r="H425" s="41"/>
      <c r="AH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</row>
    <row r="426" spans="6:63" hidden="1" x14ac:dyDescent="0.4">
      <c r="F426" s="41"/>
      <c r="G426" s="41"/>
      <c r="H426" s="41"/>
      <c r="AH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</row>
    <row r="427" spans="6:63" hidden="1" x14ac:dyDescent="0.4">
      <c r="F427" s="41"/>
      <c r="G427" s="41"/>
      <c r="H427" s="41"/>
      <c r="AH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</row>
    <row r="428" spans="6:63" hidden="1" x14ac:dyDescent="0.4">
      <c r="F428" s="41"/>
      <c r="G428" s="41"/>
      <c r="H428" s="41"/>
      <c r="AH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</row>
    <row r="429" spans="6:63" hidden="1" x14ac:dyDescent="0.4">
      <c r="F429" s="41"/>
      <c r="G429" s="41"/>
      <c r="H429" s="41"/>
      <c r="AH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</row>
    <row r="430" spans="6:63" hidden="1" x14ac:dyDescent="0.4">
      <c r="F430" s="41"/>
      <c r="G430" s="41"/>
      <c r="H430" s="41"/>
      <c r="AH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</row>
    <row r="431" spans="6:63" hidden="1" x14ac:dyDescent="0.4">
      <c r="F431" s="41"/>
      <c r="G431" s="41"/>
      <c r="H431" s="41"/>
      <c r="AH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</row>
    <row r="432" spans="6:63" hidden="1" x14ac:dyDescent="0.4">
      <c r="F432" s="41"/>
      <c r="G432" s="41"/>
      <c r="H432" s="41"/>
      <c r="AH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</row>
    <row r="433" spans="6:63" hidden="1" x14ac:dyDescent="0.4">
      <c r="F433" s="41"/>
      <c r="G433" s="41"/>
      <c r="H433" s="41"/>
      <c r="AH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</row>
    <row r="434" spans="6:63" hidden="1" x14ac:dyDescent="0.4">
      <c r="F434" s="41"/>
      <c r="G434" s="41"/>
      <c r="H434" s="41"/>
      <c r="AH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</row>
    <row r="435" spans="6:63" hidden="1" x14ac:dyDescent="0.4">
      <c r="F435" s="41"/>
      <c r="G435" s="41"/>
      <c r="H435" s="41"/>
      <c r="AH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</row>
    <row r="436" spans="6:63" hidden="1" x14ac:dyDescent="0.4">
      <c r="F436" s="41"/>
      <c r="G436" s="41"/>
      <c r="H436" s="41"/>
      <c r="AH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</row>
    <row r="437" spans="6:63" hidden="1" x14ac:dyDescent="0.4">
      <c r="F437" s="41"/>
      <c r="G437" s="41"/>
      <c r="H437" s="41"/>
      <c r="AH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</row>
    <row r="438" spans="6:63" hidden="1" x14ac:dyDescent="0.4">
      <c r="F438" s="41"/>
      <c r="G438" s="41"/>
      <c r="H438" s="41"/>
      <c r="AH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</row>
    <row r="439" spans="6:63" hidden="1" x14ac:dyDescent="0.4">
      <c r="F439" s="41"/>
      <c r="G439" s="41"/>
      <c r="H439" s="41"/>
      <c r="AH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</row>
    <row r="440" spans="6:63" hidden="1" x14ac:dyDescent="0.4">
      <c r="F440" s="41"/>
      <c r="G440" s="41"/>
      <c r="H440" s="41"/>
      <c r="AH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</row>
    <row r="441" spans="6:63" hidden="1" x14ac:dyDescent="0.4">
      <c r="F441" s="41"/>
      <c r="G441" s="41"/>
      <c r="H441" s="41"/>
      <c r="AH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</row>
    <row r="442" spans="6:63" hidden="1" x14ac:dyDescent="0.4">
      <c r="F442" s="41"/>
      <c r="G442" s="41"/>
      <c r="H442" s="41"/>
      <c r="AH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</row>
    <row r="443" spans="6:63" hidden="1" x14ac:dyDescent="0.4">
      <c r="F443" s="41"/>
      <c r="G443" s="41"/>
      <c r="H443" s="41"/>
      <c r="AH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</row>
    <row r="444" spans="6:63" hidden="1" x14ac:dyDescent="0.4">
      <c r="F444" s="41"/>
      <c r="G444" s="41"/>
      <c r="H444" s="41"/>
      <c r="AH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</row>
    <row r="445" spans="6:63" hidden="1" x14ac:dyDescent="0.4">
      <c r="F445" s="41"/>
      <c r="G445" s="41"/>
      <c r="H445" s="41"/>
      <c r="AH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</row>
    <row r="446" spans="6:63" hidden="1" x14ac:dyDescent="0.4">
      <c r="F446" s="41"/>
      <c r="G446" s="41"/>
      <c r="H446" s="41"/>
      <c r="AH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</row>
    <row r="447" spans="6:63" hidden="1" x14ac:dyDescent="0.4">
      <c r="F447" s="41"/>
      <c r="G447" s="41"/>
      <c r="H447" s="41"/>
      <c r="AH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</row>
    <row r="448" spans="6:63" hidden="1" x14ac:dyDescent="0.4">
      <c r="F448" s="41"/>
      <c r="G448" s="41"/>
      <c r="H448" s="41"/>
      <c r="AH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</row>
    <row r="449" spans="6:63" hidden="1" x14ac:dyDescent="0.4">
      <c r="F449" s="41"/>
      <c r="G449" s="41"/>
      <c r="H449" s="41"/>
      <c r="AH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</row>
    <row r="450" spans="6:63" hidden="1" x14ac:dyDescent="0.4">
      <c r="F450" s="41"/>
      <c r="G450" s="41"/>
      <c r="H450" s="41"/>
      <c r="AH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</row>
    <row r="451" spans="6:63" hidden="1" x14ac:dyDescent="0.4">
      <c r="F451" s="41"/>
      <c r="G451" s="41"/>
      <c r="H451" s="41"/>
      <c r="AH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</row>
    <row r="452" spans="6:63" hidden="1" x14ac:dyDescent="0.4">
      <c r="F452" s="41"/>
      <c r="G452" s="41"/>
      <c r="H452" s="41"/>
      <c r="AH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</row>
    <row r="453" spans="6:63" hidden="1" x14ac:dyDescent="0.4">
      <c r="F453" s="41"/>
      <c r="G453" s="41"/>
      <c r="H453" s="41"/>
      <c r="AH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</row>
    <row r="454" spans="6:63" hidden="1" x14ac:dyDescent="0.4">
      <c r="F454" s="41"/>
      <c r="G454" s="41"/>
      <c r="H454" s="41"/>
      <c r="AH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</row>
    <row r="455" spans="6:63" hidden="1" x14ac:dyDescent="0.4">
      <c r="F455" s="41"/>
      <c r="G455" s="41"/>
      <c r="H455" s="41"/>
      <c r="AH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</row>
    <row r="456" spans="6:63" hidden="1" x14ac:dyDescent="0.4">
      <c r="F456" s="41"/>
      <c r="G456" s="41"/>
      <c r="H456" s="41"/>
      <c r="AH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</row>
    <row r="457" spans="6:63" hidden="1" x14ac:dyDescent="0.4">
      <c r="F457" s="41"/>
      <c r="G457" s="41"/>
      <c r="H457" s="41"/>
      <c r="AH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</row>
    <row r="458" spans="6:63" hidden="1" x14ac:dyDescent="0.4">
      <c r="F458" s="41"/>
      <c r="G458" s="41"/>
      <c r="H458" s="41"/>
      <c r="AH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</row>
    <row r="459" spans="6:63" hidden="1" x14ac:dyDescent="0.4">
      <c r="F459" s="41"/>
      <c r="G459" s="41"/>
      <c r="H459" s="41"/>
      <c r="AH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</row>
    <row r="460" spans="6:63" hidden="1" x14ac:dyDescent="0.4">
      <c r="F460" s="41"/>
      <c r="G460" s="41"/>
      <c r="H460" s="41"/>
      <c r="AH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</row>
    <row r="461" spans="6:63" hidden="1" x14ac:dyDescent="0.4">
      <c r="F461" s="41"/>
      <c r="G461" s="41"/>
      <c r="H461" s="41"/>
      <c r="AH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</row>
    <row r="462" spans="6:63" hidden="1" x14ac:dyDescent="0.4">
      <c r="F462" s="41"/>
      <c r="G462" s="41"/>
      <c r="H462" s="41"/>
      <c r="AH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</row>
    <row r="463" spans="6:63" hidden="1" x14ac:dyDescent="0.4">
      <c r="F463" s="41"/>
      <c r="G463" s="41"/>
      <c r="H463" s="41"/>
      <c r="AH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</row>
    <row r="464" spans="6:63" hidden="1" x14ac:dyDescent="0.4">
      <c r="F464" s="41"/>
      <c r="G464" s="41"/>
      <c r="H464" s="41"/>
      <c r="AH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</row>
    <row r="465" spans="6:63" hidden="1" x14ac:dyDescent="0.4">
      <c r="F465" s="41"/>
      <c r="G465" s="41"/>
      <c r="H465" s="41"/>
      <c r="AH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</row>
    <row r="466" spans="6:63" hidden="1" x14ac:dyDescent="0.4">
      <c r="F466" s="41"/>
      <c r="G466" s="41"/>
      <c r="H466" s="41"/>
      <c r="AH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</row>
    <row r="467" spans="6:63" hidden="1" x14ac:dyDescent="0.4">
      <c r="F467" s="41"/>
      <c r="G467" s="41"/>
      <c r="H467" s="41"/>
      <c r="AH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</row>
    <row r="468" spans="6:63" hidden="1" x14ac:dyDescent="0.4">
      <c r="F468" s="41"/>
      <c r="G468" s="41"/>
      <c r="H468" s="41"/>
      <c r="AH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</row>
    <row r="469" spans="6:63" hidden="1" x14ac:dyDescent="0.4">
      <c r="F469" s="41"/>
      <c r="G469" s="41"/>
      <c r="H469" s="41"/>
      <c r="AH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</row>
    <row r="470" spans="6:63" hidden="1" x14ac:dyDescent="0.4">
      <c r="F470" s="41"/>
      <c r="G470" s="41"/>
      <c r="H470" s="41"/>
      <c r="AH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</row>
    <row r="471" spans="6:63" hidden="1" x14ac:dyDescent="0.4">
      <c r="F471" s="41"/>
      <c r="G471" s="41"/>
      <c r="H471" s="41"/>
      <c r="AH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</row>
    <row r="472" spans="6:63" hidden="1" x14ac:dyDescent="0.4">
      <c r="F472" s="41"/>
      <c r="G472" s="41"/>
      <c r="H472" s="41"/>
      <c r="AH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</row>
    <row r="473" spans="6:63" hidden="1" x14ac:dyDescent="0.4">
      <c r="F473" s="41"/>
      <c r="G473" s="41"/>
      <c r="H473" s="41"/>
      <c r="AH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</row>
    <row r="474" spans="6:63" hidden="1" x14ac:dyDescent="0.4">
      <c r="F474" s="41"/>
      <c r="G474" s="41"/>
      <c r="H474" s="41"/>
      <c r="AH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</row>
    <row r="475" spans="6:63" hidden="1" x14ac:dyDescent="0.4">
      <c r="F475" s="41"/>
      <c r="G475" s="41"/>
      <c r="H475" s="41"/>
      <c r="AH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</row>
    <row r="476" spans="6:63" hidden="1" x14ac:dyDescent="0.4">
      <c r="F476" s="41"/>
      <c r="G476" s="41"/>
      <c r="H476" s="41"/>
      <c r="AH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</row>
    <row r="477" spans="6:63" hidden="1" x14ac:dyDescent="0.4">
      <c r="F477" s="41"/>
      <c r="G477" s="41"/>
      <c r="H477" s="41"/>
      <c r="AH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</row>
    <row r="478" spans="6:63" hidden="1" x14ac:dyDescent="0.4">
      <c r="F478" s="41"/>
      <c r="G478" s="41"/>
      <c r="H478" s="41"/>
      <c r="AH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</row>
    <row r="479" spans="6:63" hidden="1" x14ac:dyDescent="0.4">
      <c r="F479" s="41"/>
      <c r="G479" s="41"/>
      <c r="H479" s="41"/>
      <c r="AH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</row>
    <row r="480" spans="6:63" hidden="1" x14ac:dyDescent="0.4">
      <c r="F480" s="41"/>
      <c r="G480" s="41"/>
      <c r="H480" s="41"/>
      <c r="AH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</row>
    <row r="481" spans="6:63" hidden="1" x14ac:dyDescent="0.4">
      <c r="F481" s="41"/>
      <c r="G481" s="41"/>
      <c r="H481" s="41"/>
      <c r="AH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</row>
    <row r="482" spans="6:63" hidden="1" x14ac:dyDescent="0.4">
      <c r="F482" s="41"/>
      <c r="G482" s="41"/>
      <c r="H482" s="41"/>
      <c r="AH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</row>
    <row r="483" spans="6:63" hidden="1" x14ac:dyDescent="0.4">
      <c r="F483" s="41"/>
      <c r="G483" s="41"/>
      <c r="H483" s="41"/>
      <c r="AH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</row>
    <row r="484" spans="6:63" hidden="1" x14ac:dyDescent="0.4">
      <c r="F484" s="41"/>
      <c r="G484" s="41"/>
      <c r="H484" s="41"/>
      <c r="AH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</row>
    <row r="485" spans="6:63" hidden="1" x14ac:dyDescent="0.4">
      <c r="F485" s="41"/>
      <c r="G485" s="41"/>
      <c r="H485" s="41"/>
      <c r="AH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</row>
    <row r="486" spans="6:63" hidden="1" x14ac:dyDescent="0.4">
      <c r="F486" s="41"/>
      <c r="G486" s="41"/>
      <c r="H486" s="41"/>
      <c r="AH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</row>
    <row r="487" spans="6:63" hidden="1" x14ac:dyDescent="0.4">
      <c r="F487" s="41"/>
      <c r="G487" s="41"/>
      <c r="H487" s="41"/>
      <c r="AH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</row>
    <row r="488" spans="6:63" hidden="1" x14ac:dyDescent="0.4">
      <c r="F488" s="41"/>
      <c r="G488" s="41"/>
      <c r="H488" s="41"/>
      <c r="AH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</row>
    <row r="489" spans="6:63" hidden="1" x14ac:dyDescent="0.4">
      <c r="F489" s="41"/>
      <c r="G489" s="41"/>
      <c r="H489" s="41"/>
      <c r="AH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</row>
    <row r="490" spans="6:63" hidden="1" x14ac:dyDescent="0.4">
      <c r="F490" s="41"/>
      <c r="G490" s="41"/>
      <c r="H490" s="41"/>
      <c r="AH490"/>
    </row>
    <row r="491" spans="6:63" hidden="1" x14ac:dyDescent="0.4">
      <c r="F491" s="41"/>
      <c r="G491" s="41"/>
      <c r="H491" s="41"/>
      <c r="AH491"/>
    </row>
    <row r="492" spans="6:63" hidden="1" x14ac:dyDescent="0.4">
      <c r="F492" s="41"/>
      <c r="G492" s="41"/>
      <c r="H492" s="41"/>
      <c r="AH492"/>
    </row>
    <row r="493" spans="6:63" hidden="1" x14ac:dyDescent="0.4">
      <c r="F493" s="41"/>
      <c r="G493" s="41"/>
      <c r="H493" s="41"/>
      <c r="AH493"/>
    </row>
    <row r="494" spans="6:63" hidden="1" x14ac:dyDescent="0.4">
      <c r="F494" s="41"/>
      <c r="G494" s="41"/>
      <c r="H494" s="41"/>
      <c r="AH494"/>
    </row>
    <row r="495" spans="6:63" hidden="1" x14ac:dyDescent="0.4">
      <c r="F495" s="41"/>
      <c r="G495" s="41"/>
      <c r="H495" s="41"/>
      <c r="AH495"/>
    </row>
    <row r="496" spans="6:63" hidden="1" x14ac:dyDescent="0.4">
      <c r="F496" s="41"/>
      <c r="G496" s="41"/>
      <c r="H496" s="41"/>
      <c r="AH496"/>
    </row>
    <row r="497" spans="6:34" hidden="1" x14ac:dyDescent="0.4">
      <c r="F497" s="41"/>
      <c r="G497" s="41"/>
      <c r="H497" s="41"/>
      <c r="AH497"/>
    </row>
    <row r="498" spans="6:34" hidden="1" x14ac:dyDescent="0.4">
      <c r="F498" s="41"/>
      <c r="G498" s="41"/>
      <c r="H498" s="41"/>
      <c r="AH498"/>
    </row>
    <row r="499" spans="6:34" hidden="1" x14ac:dyDescent="0.4">
      <c r="F499" s="41"/>
      <c r="G499" s="41"/>
      <c r="H499" s="41"/>
      <c r="AH499"/>
    </row>
    <row r="500" spans="6:34" hidden="1" x14ac:dyDescent="0.4">
      <c r="F500" s="41"/>
      <c r="G500" s="41"/>
      <c r="H500" s="41"/>
    </row>
    <row r="501" spans="6:34" hidden="1" x14ac:dyDescent="0.4">
      <c r="F501" s="41"/>
      <c r="G501" s="41"/>
      <c r="H501" s="41"/>
    </row>
    <row r="502" spans="6:34" hidden="1" x14ac:dyDescent="0.4">
      <c r="F502" s="41"/>
      <c r="G502" s="41"/>
      <c r="H502" s="41"/>
    </row>
    <row r="503" spans="6:34" hidden="1" x14ac:dyDescent="0.4">
      <c r="F503" s="41"/>
      <c r="G503" s="41"/>
      <c r="H503" s="41"/>
    </row>
    <row r="504" spans="6:34" hidden="1" x14ac:dyDescent="0.4">
      <c r="F504" s="41"/>
      <c r="G504" s="41"/>
      <c r="H504" s="41"/>
    </row>
    <row r="505" spans="6:34" hidden="1" x14ac:dyDescent="0.4">
      <c r="F505" s="41"/>
      <c r="G505" s="41"/>
      <c r="H505" s="41"/>
    </row>
    <row r="506" spans="6:34" hidden="1" x14ac:dyDescent="0.4">
      <c r="F506" s="41"/>
      <c r="G506" s="41"/>
      <c r="H506" s="41"/>
    </row>
    <row r="507" spans="6:34" hidden="1" x14ac:dyDescent="0.4">
      <c r="F507" s="41"/>
      <c r="G507" s="41"/>
      <c r="H507" s="41"/>
    </row>
    <row r="508" spans="6:34" hidden="1" x14ac:dyDescent="0.4">
      <c r="F508" s="41"/>
      <c r="G508" s="41"/>
      <c r="H508" s="41"/>
    </row>
    <row r="509" spans="6:34" hidden="1" x14ac:dyDescent="0.4">
      <c r="F509" s="41"/>
      <c r="G509" s="41"/>
      <c r="H509" s="41"/>
    </row>
    <row r="510" spans="6:34" hidden="1" x14ac:dyDescent="0.4">
      <c r="F510" s="41"/>
      <c r="G510" s="41"/>
      <c r="H510" s="41"/>
    </row>
    <row r="511" spans="6:34" hidden="1" x14ac:dyDescent="0.4">
      <c r="F511" s="41"/>
      <c r="G511" s="41"/>
      <c r="H511" s="41"/>
    </row>
    <row r="512" spans="6:34" hidden="1" x14ac:dyDescent="0.4">
      <c r="F512" s="41"/>
      <c r="G512" s="41"/>
      <c r="H512" s="41"/>
    </row>
    <row r="513" spans="6:8" hidden="1" x14ac:dyDescent="0.4">
      <c r="F513" s="41"/>
      <c r="G513" s="41"/>
      <c r="H513" s="41"/>
    </row>
    <row r="514" spans="6:8" hidden="1" x14ac:dyDescent="0.4">
      <c r="F514" s="41"/>
      <c r="G514" s="41"/>
      <c r="H514" s="41"/>
    </row>
    <row r="515" spans="6:8" hidden="1" x14ac:dyDescent="0.4">
      <c r="F515" s="41"/>
      <c r="G515" s="41"/>
      <c r="H515" s="41"/>
    </row>
    <row r="516" spans="6:8" hidden="1" x14ac:dyDescent="0.4">
      <c r="F516" s="41"/>
      <c r="G516" s="41"/>
      <c r="H516" s="41"/>
    </row>
    <row r="517" spans="6:8" hidden="1" x14ac:dyDescent="0.4">
      <c r="F517" s="41"/>
      <c r="G517" s="41"/>
      <c r="H517" s="41"/>
    </row>
    <row r="518" spans="6:8" hidden="1" x14ac:dyDescent="0.4">
      <c r="F518" s="41"/>
      <c r="G518" s="41"/>
      <c r="H518" s="41"/>
    </row>
    <row r="519" spans="6:8" hidden="1" x14ac:dyDescent="0.4">
      <c r="F519" s="41"/>
      <c r="G519" s="41"/>
      <c r="H519" s="41"/>
    </row>
    <row r="520" spans="6:8" hidden="1" x14ac:dyDescent="0.4">
      <c r="F520" s="41"/>
      <c r="G520" s="41"/>
      <c r="H520" s="41"/>
    </row>
    <row r="521" spans="6:8" hidden="1" x14ac:dyDescent="0.4">
      <c r="F521" s="41"/>
      <c r="G521" s="41"/>
      <c r="H521" s="41"/>
    </row>
    <row r="522" spans="6:8" hidden="1" x14ac:dyDescent="0.4">
      <c r="F522" s="41"/>
      <c r="G522" s="41"/>
      <c r="H522" s="41"/>
    </row>
    <row r="523" spans="6:8" hidden="1" x14ac:dyDescent="0.4">
      <c r="F523" s="41"/>
      <c r="G523" s="41"/>
      <c r="H523" s="41"/>
    </row>
    <row r="524" spans="6:8" hidden="1" x14ac:dyDescent="0.4">
      <c r="F524" s="41"/>
      <c r="G524" s="41"/>
      <c r="H524" s="41"/>
    </row>
    <row r="525" spans="6:8" hidden="1" x14ac:dyDescent="0.4">
      <c r="F525" s="41"/>
      <c r="G525" s="41"/>
      <c r="H525" s="41"/>
    </row>
    <row r="526" spans="6:8" hidden="1" x14ac:dyDescent="0.4">
      <c r="F526" s="41"/>
      <c r="G526" s="41"/>
      <c r="H526" s="41"/>
    </row>
    <row r="527" spans="6:8" hidden="1" x14ac:dyDescent="0.4">
      <c r="F527" s="41"/>
      <c r="G527" s="41"/>
      <c r="H527" s="41"/>
    </row>
    <row r="528" spans="6:8" hidden="1" x14ac:dyDescent="0.4">
      <c r="F528" s="41"/>
      <c r="G528" s="41"/>
      <c r="H528" s="41"/>
    </row>
    <row r="529" spans="6:34" hidden="1" x14ac:dyDescent="0.4">
      <c r="F529" s="41"/>
      <c r="G529" s="41"/>
      <c r="H529" s="41"/>
    </row>
    <row r="530" spans="6:34" hidden="1" x14ac:dyDescent="0.4">
      <c r="F530" s="41"/>
      <c r="G530" s="41"/>
      <c r="H530" s="41"/>
    </row>
    <row r="531" spans="6:34" hidden="1" x14ac:dyDescent="0.4">
      <c r="F531" s="41"/>
      <c r="G531" s="41"/>
      <c r="H531" s="41"/>
      <c r="O531"/>
      <c r="P531"/>
      <c r="Q531"/>
      <c r="R531"/>
      <c r="S531"/>
      <c r="T531"/>
      <c r="U531"/>
    </row>
    <row r="532" spans="6:34" hidden="1" x14ac:dyDescent="0.4">
      <c r="AH532" s="40"/>
    </row>
  </sheetData>
  <mergeCells count="10">
    <mergeCell ref="G7:Z7"/>
    <mergeCell ref="V10:Y10"/>
    <mergeCell ref="V9:Y9"/>
    <mergeCell ref="H10:J10"/>
    <mergeCell ref="H9:M9"/>
    <mergeCell ref="R9:T9"/>
    <mergeCell ref="R10:T10"/>
    <mergeCell ref="K10:M10"/>
    <mergeCell ref="O10:P10"/>
    <mergeCell ref="O9:P9"/>
  </mergeCells>
  <conditionalFormatting sqref="O12:P266">
    <cfRule type="expression" dxfId="10" priority="7">
      <formula>OR(#REF!=127,#REF!=129,#REF!=141,#REF!=143,#REF!=144,#REF!=157,#REF!=160)</formula>
    </cfRule>
  </conditionalFormatting>
  <conditionalFormatting sqref="S12:T266 X12:X14 X16:X17">
    <cfRule type="expression" dxfId="9" priority="5">
      <formula>OR(#REF!=127,#REF!=129,#REF!=141,#REF!=143,#REF!=144,#REF!=157,#REF!=160)</formula>
    </cfRule>
  </conditionalFormatting>
  <conditionalFormatting sqref="Y12:Y14 Y16:Y17">
    <cfRule type="expression" dxfId="8" priority="1">
      <formula>OR(#REF!=127,#REF!=129,#REF!=141,#REF!=143,#REF!=144,#REF!=157,#REF!=160)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BDF36-0B08-4EAA-A06E-98064731B8D7}">
  <sheetPr codeName="Sheet4">
    <tabColor rgb="FF2FBB6D"/>
  </sheetPr>
  <dimension ref="A1:AJ36"/>
  <sheetViews>
    <sheetView showGridLines="0" zoomScaleNormal="100" workbookViewId="0"/>
  </sheetViews>
  <sheetFormatPr defaultColWidth="0" defaultRowHeight="13.15" zeroHeight="1" x14ac:dyDescent="0.4"/>
  <cols>
    <col min="1" max="1" width="5.7109375" style="1" customWidth="1"/>
    <col min="2" max="5" width="1.78515625" style="1" customWidth="1"/>
    <col min="6" max="6" width="7.140625" style="1" customWidth="1"/>
    <col min="7" max="7" width="14.28515625" style="1" customWidth="1"/>
    <col min="8" max="10" width="13.640625" style="1" customWidth="1"/>
    <col min="11" max="11" width="7.03125E-2" style="1" customWidth="1"/>
    <col min="12" max="15" width="14.28515625" style="1" customWidth="1"/>
    <col min="16" max="16" width="7.140625" style="1" customWidth="1"/>
    <col min="17" max="20" width="1.78515625" style="1" customWidth="1"/>
    <col min="21" max="21" width="8.7109375" style="1" hidden="1" customWidth="1"/>
    <col min="22" max="22" width="9" style="1" hidden="1" customWidth="1"/>
    <col min="23" max="23" width="15.42578125" style="1" hidden="1" customWidth="1"/>
    <col min="24" max="24" width="8.5703125" style="1" hidden="1" customWidth="1"/>
    <col min="25" max="28" width="7.42578125" style="1" hidden="1" customWidth="1"/>
    <col min="29" max="35" width="9" style="1" hidden="1" customWidth="1"/>
    <col min="36" max="36" width="11" style="1" hidden="1" customWidth="1"/>
    <col min="37" max="16384" width="9" style="1" hidden="1"/>
  </cols>
  <sheetData>
    <row r="1" spans="2:25" ht="21.95" customHeight="1" x14ac:dyDescent="0.4"/>
    <row r="2" spans="2:25" ht="9.4" customHeight="1" x14ac:dyDescent="0.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5" ht="9.4" customHeight="1" x14ac:dyDescent="0.4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2"/>
    </row>
    <row r="4" spans="2:25" ht="9.4" customHeight="1" x14ac:dyDescent="0.4">
      <c r="B4" s="2"/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3"/>
      <c r="T4" s="2"/>
    </row>
    <row r="5" spans="2:25" ht="9.4" customHeight="1" x14ac:dyDescent="0.4">
      <c r="B5" s="2"/>
      <c r="C5" s="3"/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4"/>
      <c r="S5" s="3"/>
      <c r="T5" s="2"/>
    </row>
    <row r="6" spans="2:25" ht="13.15" customHeight="1" x14ac:dyDescent="0.4">
      <c r="B6" s="2"/>
      <c r="C6" s="3"/>
      <c r="D6" s="4"/>
      <c r="E6" s="5"/>
      <c r="H6" s="8"/>
      <c r="I6" s="8"/>
      <c r="J6" s="8"/>
      <c r="K6" s="8"/>
      <c r="L6" s="8"/>
      <c r="M6" s="8"/>
      <c r="N6" s="8"/>
      <c r="O6" s="8"/>
      <c r="Q6" s="5"/>
      <c r="R6" s="4"/>
      <c r="S6" s="3"/>
      <c r="T6" s="2"/>
    </row>
    <row r="7" spans="2:25" ht="25.5" x14ac:dyDescent="0.4">
      <c r="B7" s="2"/>
      <c r="C7" s="3"/>
      <c r="D7" s="4"/>
      <c r="E7" s="5"/>
      <c r="G7" s="86" t="s">
        <v>30</v>
      </c>
      <c r="H7" s="86"/>
      <c r="I7" s="86"/>
      <c r="J7" s="86"/>
      <c r="K7" s="86"/>
      <c r="L7" s="86"/>
      <c r="M7" s="86"/>
      <c r="N7" s="86"/>
      <c r="O7" s="86"/>
      <c r="Q7" s="5"/>
      <c r="R7" s="4"/>
      <c r="S7" s="3"/>
      <c r="T7" s="2"/>
      <c r="W7" s="26"/>
    </row>
    <row r="8" spans="2:25" ht="13.15" customHeight="1" x14ac:dyDescent="0.4">
      <c r="B8" s="2"/>
      <c r="C8" s="3"/>
      <c r="D8" s="4"/>
      <c r="E8" s="5"/>
      <c r="H8" s="8"/>
      <c r="I8" s="8"/>
      <c r="J8" s="8"/>
      <c r="K8" s="8"/>
      <c r="L8" s="8"/>
      <c r="M8" s="8"/>
      <c r="N8" s="8"/>
      <c r="O8" s="8"/>
      <c r="Q8" s="5"/>
      <c r="R8" s="4"/>
      <c r="S8" s="3"/>
      <c r="T8" s="2"/>
    </row>
    <row r="9" spans="2:25" ht="41.25" customHeight="1" x14ac:dyDescent="0.4">
      <c r="B9" s="2"/>
      <c r="C9" s="3"/>
      <c r="D9" s="4"/>
      <c r="E9" s="5"/>
      <c r="H9" s="100" t="s">
        <v>48</v>
      </c>
      <c r="I9" s="101"/>
      <c r="J9" s="101"/>
      <c r="K9" s="78"/>
      <c r="L9" s="100" t="s">
        <v>49</v>
      </c>
      <c r="M9" s="101"/>
      <c r="N9" s="101"/>
      <c r="Q9" s="5"/>
      <c r="R9" s="4"/>
      <c r="S9" s="3"/>
      <c r="T9" s="2"/>
      <c r="W9" s="79"/>
    </row>
    <row r="10" spans="2:25" ht="15.75" x14ac:dyDescent="0.4">
      <c r="B10" s="2"/>
      <c r="C10" s="3"/>
      <c r="D10" s="4"/>
      <c r="E10" s="5"/>
      <c r="H10" s="11" t="s">
        <v>16</v>
      </c>
      <c r="I10" s="24" t="s">
        <v>31</v>
      </c>
      <c r="J10" s="24" t="s">
        <v>32</v>
      </c>
      <c r="L10" s="11" t="s">
        <v>16</v>
      </c>
      <c r="M10" s="24" t="s">
        <v>31</v>
      </c>
      <c r="N10" s="11" t="s">
        <v>32</v>
      </c>
      <c r="Q10" s="5"/>
      <c r="R10" s="4"/>
      <c r="S10" s="3"/>
      <c r="T10" s="2"/>
      <c r="W10" s="26"/>
      <c r="Y10" s="26"/>
    </row>
    <row r="11" spans="2:25" ht="14.25" customHeight="1" x14ac:dyDescent="0.4">
      <c r="B11" s="2"/>
      <c r="C11" s="3"/>
      <c r="D11" s="4"/>
      <c r="E11" s="5"/>
      <c r="H11" s="15">
        <v>1</v>
      </c>
      <c r="I11" s="21" t="b">
        <f t="shared" ref="I11:I16" si="0">ISNUMBER(H11)</f>
        <v>1</v>
      </c>
      <c r="J11" s="32" t="b">
        <f>ISTEXT(H11)</f>
        <v>0</v>
      </c>
      <c r="L11" s="28" t="s">
        <v>24</v>
      </c>
      <c r="M11" s="21" t="b">
        <f>ISNUMBER(L11)</f>
        <v>0</v>
      </c>
      <c r="N11" s="32" t="b">
        <f>ISTEXT(L11)</f>
        <v>1</v>
      </c>
      <c r="Q11" s="5"/>
      <c r="R11" s="4"/>
      <c r="S11" s="3"/>
      <c r="T11" s="2"/>
    </row>
    <row r="12" spans="2:25" ht="14.25" customHeight="1" x14ac:dyDescent="0.4">
      <c r="B12" s="2"/>
      <c r="C12" s="3"/>
      <c r="D12" s="4"/>
      <c r="E12" s="5"/>
      <c r="H12" s="16">
        <v>2</v>
      </c>
      <c r="I12" s="21" t="b">
        <f t="shared" si="0"/>
        <v>1</v>
      </c>
      <c r="J12" s="32" t="b">
        <f t="shared" ref="J12:J16" si="1">ISTEXT(H12)</f>
        <v>0</v>
      </c>
      <c r="L12" s="28" t="s">
        <v>25</v>
      </c>
      <c r="M12" s="21" t="b">
        <f t="shared" ref="M12:M16" si="2">ISNUMBER(L12)</f>
        <v>0</v>
      </c>
      <c r="N12" s="32" t="b">
        <f t="shared" ref="N12:N16" si="3">ISTEXT(L12)</f>
        <v>1</v>
      </c>
      <c r="Q12" s="5"/>
      <c r="R12" s="4"/>
      <c r="S12" s="3"/>
      <c r="T12" s="2"/>
    </row>
    <row r="13" spans="2:25" ht="14.25" customHeight="1" x14ac:dyDescent="0.4">
      <c r="B13" s="2"/>
      <c r="C13" s="3"/>
      <c r="D13" s="4"/>
      <c r="E13" s="5"/>
      <c r="H13" s="16">
        <v>3</v>
      </c>
      <c r="I13" s="21" t="b">
        <f t="shared" si="0"/>
        <v>1</v>
      </c>
      <c r="J13" s="32" t="b">
        <f t="shared" si="1"/>
        <v>0</v>
      </c>
      <c r="L13" s="28" t="s">
        <v>26</v>
      </c>
      <c r="M13" s="21" t="b">
        <f t="shared" si="2"/>
        <v>0</v>
      </c>
      <c r="N13" s="32" t="b">
        <f t="shared" si="3"/>
        <v>1</v>
      </c>
      <c r="Q13" s="5"/>
      <c r="R13" s="4"/>
      <c r="S13" s="3"/>
      <c r="T13" s="2"/>
    </row>
    <row r="14" spans="2:25" ht="14.25" customHeight="1" x14ac:dyDescent="0.4">
      <c r="B14" s="2"/>
      <c r="C14" s="3"/>
      <c r="D14" s="4"/>
      <c r="E14" s="5"/>
      <c r="H14" s="16">
        <v>4</v>
      </c>
      <c r="I14" s="21" t="b">
        <f t="shared" si="0"/>
        <v>1</v>
      </c>
      <c r="J14" s="32" t="b">
        <f t="shared" si="1"/>
        <v>0</v>
      </c>
      <c r="L14" s="28" t="s">
        <v>28</v>
      </c>
      <c r="M14" s="21" t="b">
        <f t="shared" si="2"/>
        <v>0</v>
      </c>
      <c r="N14" s="32" t="b">
        <f t="shared" si="3"/>
        <v>1</v>
      </c>
      <c r="Q14" s="5"/>
      <c r="R14" s="4"/>
      <c r="S14" s="3"/>
      <c r="T14" s="2"/>
      <c r="Y14" s="9"/>
    </row>
    <row r="15" spans="2:25" ht="14.25" customHeight="1" x14ac:dyDescent="0.4">
      <c r="B15" s="2"/>
      <c r="C15" s="3"/>
      <c r="D15" s="4"/>
      <c r="E15" s="5"/>
      <c r="H15" s="16">
        <v>5</v>
      </c>
      <c r="I15" s="21" t="b">
        <f t="shared" si="0"/>
        <v>1</v>
      </c>
      <c r="J15" s="32" t="b">
        <f t="shared" si="1"/>
        <v>0</v>
      </c>
      <c r="L15" s="28" t="s">
        <v>27</v>
      </c>
      <c r="M15" s="21" t="b">
        <f t="shared" si="2"/>
        <v>0</v>
      </c>
      <c r="N15" s="32" t="b">
        <f t="shared" si="3"/>
        <v>1</v>
      </c>
      <c r="Q15" s="5"/>
      <c r="R15" s="4"/>
      <c r="S15" s="3"/>
      <c r="T15" s="2"/>
      <c r="Y15" s="9"/>
    </row>
    <row r="16" spans="2:25" ht="14.25" customHeight="1" x14ac:dyDescent="0.4">
      <c r="B16" s="2"/>
      <c r="C16" s="3"/>
      <c r="D16" s="4"/>
      <c r="E16" s="5"/>
      <c r="H16" s="16">
        <v>6</v>
      </c>
      <c r="I16" s="21" t="b">
        <f t="shared" si="0"/>
        <v>1</v>
      </c>
      <c r="J16" s="32" t="b">
        <f t="shared" si="1"/>
        <v>0</v>
      </c>
      <c r="L16" s="28" t="s">
        <v>29</v>
      </c>
      <c r="M16" s="21" t="b">
        <f t="shared" si="2"/>
        <v>0</v>
      </c>
      <c r="N16" s="32" t="b">
        <f t="shared" si="3"/>
        <v>1</v>
      </c>
      <c r="Q16" s="5"/>
      <c r="R16" s="4"/>
      <c r="S16" s="3"/>
      <c r="T16" s="2"/>
      <c r="Y16" s="9"/>
    </row>
    <row r="17" spans="2:25" x14ac:dyDescent="0.4">
      <c r="B17" s="2"/>
      <c r="C17" s="3"/>
      <c r="D17" s="4"/>
      <c r="E17" s="5"/>
      <c r="Q17" s="5"/>
      <c r="R17" s="4"/>
      <c r="S17" s="3"/>
      <c r="T17" s="2"/>
      <c r="Y17" s="9"/>
    </row>
    <row r="18" spans="2:25" ht="41.25" customHeight="1" x14ac:dyDescent="0.4">
      <c r="B18" s="2"/>
      <c r="C18" s="3"/>
      <c r="D18" s="4"/>
      <c r="E18" s="5"/>
      <c r="H18" s="100" t="s">
        <v>50</v>
      </c>
      <c r="I18" s="101"/>
      <c r="J18" s="101"/>
      <c r="L18" s="100" t="s">
        <v>51</v>
      </c>
      <c r="M18" s="101"/>
      <c r="N18" s="101"/>
      <c r="Q18" s="5"/>
      <c r="R18" s="4"/>
      <c r="S18" s="3"/>
      <c r="T18" s="2"/>
    </row>
    <row r="19" spans="2:25" ht="15.75" x14ac:dyDescent="0.4">
      <c r="B19" s="2"/>
      <c r="C19" s="3"/>
      <c r="D19" s="4"/>
      <c r="E19" s="5"/>
      <c r="H19" s="11" t="s">
        <v>564</v>
      </c>
      <c r="I19" s="24" t="s">
        <v>39</v>
      </c>
      <c r="J19" s="24" t="s">
        <v>32</v>
      </c>
      <c r="L19" s="11" t="s">
        <v>564</v>
      </c>
      <c r="M19" s="24" t="s">
        <v>39</v>
      </c>
      <c r="N19" s="11" t="s">
        <v>32</v>
      </c>
      <c r="Q19" s="5"/>
      <c r="R19" s="4"/>
      <c r="S19" s="3"/>
      <c r="T19" s="2"/>
    </row>
    <row r="20" spans="2:25" x14ac:dyDescent="0.4">
      <c r="B20" s="2"/>
      <c r="C20" s="3"/>
      <c r="D20" s="4"/>
      <c r="E20" s="5"/>
      <c r="H20" s="32" t="e">
        <v>#N/A</v>
      </c>
      <c r="I20" s="21" t="b">
        <f>ISERROR(H20)</f>
        <v>1</v>
      </c>
      <c r="J20" s="32" t="b">
        <f>ISTEXT(H20)</f>
        <v>0</v>
      </c>
      <c r="L20" s="31" t="s">
        <v>33</v>
      </c>
      <c r="M20" s="21" t="b">
        <f>ISERROR(L20)</f>
        <v>0</v>
      </c>
      <c r="N20" s="32" t="b">
        <f>ISTEXT(L20)</f>
        <v>1</v>
      </c>
      <c r="Q20" s="5"/>
      <c r="R20" s="4"/>
      <c r="S20" s="3"/>
      <c r="T20" s="2"/>
      <c r="X20" s="9"/>
      <c r="Y20" s="30"/>
    </row>
    <row r="21" spans="2:25" x14ac:dyDescent="0.4">
      <c r="B21" s="2"/>
      <c r="C21" s="3"/>
      <c r="D21" s="4"/>
      <c r="E21" s="5"/>
      <c r="H21" s="32" t="e">
        <v>#DIV/0!</v>
      </c>
      <c r="I21" s="21" t="b">
        <f t="shared" ref="I21:I25" si="4">ISERROR(H21)</f>
        <v>1</v>
      </c>
      <c r="J21" s="32" t="b">
        <f t="shared" ref="J21:J25" si="5">ISTEXT(H21)</f>
        <v>0</v>
      </c>
      <c r="L21" s="31" t="s">
        <v>34</v>
      </c>
      <c r="M21" s="21" t="b">
        <f t="shared" ref="M21:M24" si="6">ISERROR(L21)</f>
        <v>0</v>
      </c>
      <c r="N21" s="32" t="b">
        <f>ISTEXT(L21)</f>
        <v>1</v>
      </c>
      <c r="Q21" s="5"/>
      <c r="R21" s="4"/>
      <c r="S21" s="3"/>
      <c r="T21" s="2"/>
      <c r="Y21" s="26"/>
    </row>
    <row r="22" spans="2:25" x14ac:dyDescent="0.4">
      <c r="B22" s="2"/>
      <c r="C22" s="3"/>
      <c r="D22" s="4"/>
      <c r="E22" s="5"/>
      <c r="H22" s="21" t="e">
        <v>#NAME?</v>
      </c>
      <c r="I22" s="21" t="b">
        <f t="shared" si="4"/>
        <v>1</v>
      </c>
      <c r="J22" s="32" t="b">
        <f t="shared" si="5"/>
        <v>0</v>
      </c>
      <c r="L22" s="31" t="s">
        <v>35</v>
      </c>
      <c r="M22" s="21" t="b">
        <f t="shared" si="6"/>
        <v>0</v>
      </c>
      <c r="N22" s="32" t="b">
        <f>ISTEXT(L22)</f>
        <v>1</v>
      </c>
      <c r="Q22" s="5"/>
      <c r="R22" s="4"/>
      <c r="S22" s="3"/>
      <c r="T22" s="2"/>
    </row>
    <row r="23" spans="2:25" x14ac:dyDescent="0.4">
      <c r="B23" s="2"/>
      <c r="C23" s="3"/>
      <c r="D23" s="4"/>
      <c r="E23" s="5"/>
      <c r="H23" s="21" t="e">
        <v>#VALUE!</v>
      </c>
      <c r="I23" s="21" t="b">
        <f t="shared" si="4"/>
        <v>1</v>
      </c>
      <c r="J23" s="32" t="b">
        <f t="shared" si="5"/>
        <v>0</v>
      </c>
      <c r="L23" s="31" t="s">
        <v>36</v>
      </c>
      <c r="M23" s="21" t="b">
        <f t="shared" si="6"/>
        <v>0</v>
      </c>
      <c r="N23" s="32" t="b">
        <f>ISTEXT(L23)</f>
        <v>1</v>
      </c>
      <c r="Q23" s="5"/>
      <c r="R23" s="4"/>
      <c r="S23" s="3"/>
      <c r="T23" s="2"/>
    </row>
    <row r="24" spans="2:25" x14ac:dyDescent="0.4">
      <c r="B24" s="2"/>
      <c r="C24" s="3"/>
      <c r="D24" s="4"/>
      <c r="E24" s="5"/>
      <c r="H24" s="21" t="e">
        <v>#NUM!</v>
      </c>
      <c r="I24" s="21" t="b">
        <f t="shared" si="4"/>
        <v>1</v>
      </c>
      <c r="J24" s="32" t="b">
        <f t="shared" si="5"/>
        <v>0</v>
      </c>
      <c r="L24" s="31" t="s">
        <v>38</v>
      </c>
      <c r="M24" s="21" t="b">
        <f t="shared" si="6"/>
        <v>0</v>
      </c>
      <c r="N24" s="32" t="b">
        <f t="shared" ref="N20:N25" si="7">ISTEXT(L24)</f>
        <v>1</v>
      </c>
      <c r="Q24" s="5"/>
      <c r="R24" s="4"/>
      <c r="S24" s="3"/>
      <c r="T24" s="2"/>
    </row>
    <row r="25" spans="2:25" x14ac:dyDescent="0.4">
      <c r="B25" s="2"/>
      <c r="C25" s="3"/>
      <c r="D25" s="4"/>
      <c r="E25" s="5"/>
      <c r="H25" s="21" t="e">
        <v>#NULL!</v>
      </c>
      <c r="I25" s="21" t="b">
        <f t="shared" si="4"/>
        <v>1</v>
      </c>
      <c r="J25" s="32" t="b">
        <f t="shared" si="5"/>
        <v>0</v>
      </c>
      <c r="L25" s="31" t="s">
        <v>37</v>
      </c>
      <c r="M25" s="21" t="b">
        <f>ISERROR(L25)</f>
        <v>0</v>
      </c>
      <c r="N25" s="32" t="b">
        <f>ISTEXT(L25)</f>
        <v>1</v>
      </c>
      <c r="Q25" s="5"/>
      <c r="R25" s="4"/>
      <c r="S25" s="3"/>
      <c r="T25" s="2"/>
    </row>
    <row r="26" spans="2:25" x14ac:dyDescent="0.4">
      <c r="B26" s="2"/>
      <c r="C26" s="3"/>
      <c r="D26" s="4"/>
      <c r="E26" s="5"/>
      <c r="Q26" s="5"/>
      <c r="R26" s="4"/>
      <c r="S26" s="3"/>
      <c r="T26" s="2"/>
    </row>
    <row r="27" spans="2:25" ht="9.4" customHeight="1" x14ac:dyDescent="0.4">
      <c r="B27" s="2"/>
      <c r="C27" s="3"/>
      <c r="D27" s="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4"/>
      <c r="S27" s="3"/>
      <c r="T27" s="2"/>
    </row>
    <row r="28" spans="2:25" ht="9.4" customHeight="1" x14ac:dyDescent="0.4">
      <c r="B28" s="2"/>
      <c r="C28" s="3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3"/>
      <c r="T28" s="2"/>
    </row>
    <row r="29" spans="2:25" ht="9.4" customHeight="1" x14ac:dyDescent="0.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2"/>
    </row>
    <row r="30" spans="2:25" ht="9.4" customHeight="1" x14ac:dyDescent="0.4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3" spans="9:15" ht="9.4" hidden="1" customHeight="1" x14ac:dyDescent="0.4"/>
    <row r="34" spans="9:15" ht="9.4" hidden="1" customHeight="1" x14ac:dyDescent="0.4"/>
    <row r="35" spans="9:15" ht="9.4" hidden="1" customHeight="1" x14ac:dyDescent="0.4"/>
    <row r="36" spans="9:15" ht="9.4" hidden="1" customHeight="1" x14ac:dyDescent="0.4">
      <c r="I36" s="9"/>
      <c r="J36" s="9"/>
      <c r="K36" s="9"/>
      <c r="L36" s="9"/>
      <c r="M36" s="9"/>
      <c r="N36" s="9"/>
      <c r="O36" s="9"/>
    </row>
  </sheetData>
  <mergeCells count="5">
    <mergeCell ref="L9:N9"/>
    <mergeCell ref="H18:J18"/>
    <mergeCell ref="L18:N18"/>
    <mergeCell ref="H9:J9"/>
    <mergeCell ref="G7:O7"/>
  </mergeCells>
  <conditionalFormatting sqref="I11:J16 M11:N16 M20:N25 I20:J25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LinkedIn-Logo" Type="http://schemas.openxmlformats.org/officeDocument/2006/relationships/image" Target="images/LinkedIn-Logo.png"/><Relationship Id="PayPal-Logo" Type="http://schemas.openxmlformats.org/officeDocument/2006/relationships/image" Target="images/PayPal-Logo.png"/><Relationship Id="Twitter-Logo" Type="http://schemas.openxmlformats.org/officeDocument/2006/relationships/image" Target="images/Twitter-Logo.png"/><Relationship Id="Reddit-Logo" Type="http://schemas.openxmlformats.org/officeDocument/2006/relationships/image" Target="images/Reddit-Logo.png"/><Relationship Id="Coffee-Logo" Type="http://schemas.openxmlformats.org/officeDocument/2006/relationships/image" Target="images/Coffee-Logo.png"/><Relationship Id="Medium-Logo" Type="http://schemas.openxmlformats.org/officeDocument/2006/relationships/image" Target="images/Medium-Logo.png"/></Relationships>
</file>

<file path=customUI/customUI14.xml><?xml version="1.0" encoding="utf-8"?>
<customUI xmlns="http://schemas.microsoft.com/office/2009/07/customui">
  <ribbon startFromScratch="false">
    <!--Hide all default tabs-->
    <tabs>
      <tab id="tab1" label="Andrew Moss" insertBeforeMso="TabHome">
        <!--Buttons 2 (Custom Icons)-->
        <group id="grp_btns2" label="Andrew Moss">
          <!--Large Buttons 2 (Custom Icons)-->
          <button id="btns_btn1" label="Medium" size="large" onAction="btns_onAction" image="Medium-Logo"/>
          <button id="btns_btn2" label="LinkedIn" size="large" onAction="btns_onAction" image="LinkedIn-Logo"/>
          <button id="btns_btn3" label="Twitter" size="large" onAction="btns_onAction" image="Twitter-Logo"/>
          <!--<button id="btns_btn4" label="Reddit" size="large" onAction="btns_onAction" image="Reddit-Logo" />-->
          <separator id="sep1"/>
          <labelControl id="lblCtrl_dummy1"/>
          <button id="btns_btn4" label="Buy me a coffee!" size="large" onAction="btns_onAction" image="Coffee-Log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 1</vt:lpstr>
      <vt:lpstr>Part 2</vt:lpstr>
      <vt:lpstr>Part 2 Extras</vt:lpstr>
      <vt:lpstr>Part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Moss</dc:creator>
  <cp:lastModifiedBy>Andrew Moss</cp:lastModifiedBy>
  <dcterms:created xsi:type="dcterms:W3CDTF">2021-01-24T11:36:13Z</dcterms:created>
  <dcterms:modified xsi:type="dcterms:W3CDTF">2021-06-08T10:39:40Z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87e1b842-be25-4bf9-a882-cb2344091411</vt:lpwstr>
  </property>
</Properties>
</file>